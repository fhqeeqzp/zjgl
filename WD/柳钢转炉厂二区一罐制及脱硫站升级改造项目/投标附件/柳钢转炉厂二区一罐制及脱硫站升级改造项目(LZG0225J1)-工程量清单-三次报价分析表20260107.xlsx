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98" firstSheet="4"/>
  </bookViews>
  <sheets>
    <sheet name="表1汇总表" sheetId="1" r:id="rId1"/>
    <sheet name="表2清单" sheetId="13" r:id="rId2"/>
    <sheet name="表3" sheetId="12" r:id="rId3"/>
    <sheet name="表4" sheetId="11" r:id="rId4"/>
    <sheet name="表5" sheetId="10" r:id="rId5"/>
    <sheet name="表6" sheetId="9" r:id="rId6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1" hidden="1">表2清单!$A$1:$P$448</definedName>
    <definedName name="_xlnm._FilterDatabase" localSheetId="5" hidden="1">表6!$A$1:$G$59</definedName>
    <definedName name="_2a11_" hidden="1">{#N/A,#N/A,FALSE,"App14-F-A";#N/A,#N/A,FALSE,"App14-F-C";#N/A,#N/A,FALSE,"App14-F-D";#N/A,#N/A,FALSE,"App14-F-E"}</definedName>
    <definedName name="bbv" hidden="1">{#N/A,#N/A,FALSE,"App14-F-A";#N/A,#N/A,FALSE,"App14-F-C";#N/A,#N/A,FALSE,"App14-F-D";#N/A,#N/A,FALSE,"App14-F-E"}</definedName>
    <definedName name="Database" hidden="1">#REF!</definedName>
    <definedName name="ggf" hidden="1">{#N/A,#N/A,FALSE,"App14-F-A";#N/A,#N/A,FALSE,"App14-F-C";#N/A,#N/A,FALSE,"App14-F-D";#N/A,#N/A,FALSE,"App14-F-E"}</definedName>
    <definedName name="HTML_CodePage" hidden="1">936</definedName>
    <definedName name="HTML_Control" hidden="1">{"'报表'!$F$15"}</definedName>
    <definedName name="HTML_Description" hidden="1">""</definedName>
    <definedName name="HTML_Email" hidden="1">""</definedName>
    <definedName name="HTML_Header" hidden="1">"报表"</definedName>
    <definedName name="HTML_LastUpdate" hidden="1">"03-2-13"</definedName>
    <definedName name="HTML_LineAfter" hidden="1">FALSE</definedName>
    <definedName name="HTML_LineBefore" hidden="1">FALSE</definedName>
    <definedName name="HTML_Name" hidden="1">"tjd"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"1月"</definedName>
    <definedName name="LF" hidden="1">{#N/A,#N/A,FALSE,"App14-F-A";#N/A,#N/A,FALSE,"App14-F-C";#N/A,#N/A,FALSE,"App14-F-D";#N/A,#N/A,FALSE,"App14-F-E"}</definedName>
    <definedName name="_xlnm.Print_Area" hidden="1">#REF!</definedName>
    <definedName name="wrn.App14_F." hidden="1">{#N/A,#N/A,FALSE,"App14-F-A";#N/A,#N/A,FALSE,"APP14-T-A";#N/A,#N/A,FALSE,"App14-F-C";#N/A,#N/A,FALSE,"App14-F-D";#N/A,#N/A,FALSE,"APP14-T-D";#N/A,#N/A,FALSE,"App14-F-E";#N/A,#N/A,FALSE,"APP14-T (2)"}</definedName>
    <definedName name="甲供材料计算" hidden="1">{"'报表'!$F$15"}</definedName>
    <definedName name="__xlfn.AVERAGEIFS" hidden="1">#NAME?</definedName>
    <definedName name="__xlfn.SUMIFS" hidden="1">#NAME?</definedName>
    <definedName name="_Order1" hidden="1">255</definedName>
    <definedName name="_Order2" hidden="1">255</definedName>
    <definedName name="bb" hidden="1">{#N/A,#N/A,FALSE,"App14-F-A";#N/A,#N/A,FALSE,"App14-F-C";#N/A,#N/A,FALSE,"App14-F-D";#N/A,#N/A,FALSE,"App14-F-E"}</definedName>
    <definedName name="BTL_COM_CLBHA4_CCTEC201">[2]水系统CCS31a90.1!$A$2</definedName>
    <definedName name="dianji">[3]泵站各参数表!$H$3:$H$17</definedName>
    <definedName name="Elec_TMEIC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ff" hidden="1">{#N/A,#N/A,FALSE,"App14-F-A";#N/A,#N/A,FALSE,"APP14-T-A";#N/A,#N/A,FALSE,"App14-F-C";#N/A,#N/A,FALSE,"App14-F-D";#N/A,#N/A,FALSE,"APP14-T-D";#N/A,#N/A,FALSE,"App14-F-E";#N/A,#N/A,FALSE,"APP14-T (2)"}</definedName>
    <definedName name="gaoyaguolvqi">[3]泵站各参数表!$U$3:$U$9</definedName>
    <definedName name="huiludaima">'[3]阀组分档-基本数据源'!$I$23:$I$30</definedName>
    <definedName name="huiyouguolvqi">[3]泵站各参数表!$Z$3:$Z$9</definedName>
    <definedName name="llf" hidden="1">{#N/A,#N/A,FALSE,"App14-F-A";#N/A,#N/A,FALSE,"App14-F-C";#N/A,#N/A,FALSE,"App14-F-D";#N/A,#N/A,FALSE,"App14-F-E"}</definedName>
    <definedName name="REV_MATERIAL">[2]水系统CCS31a90.1!$D$4</definedName>
    <definedName name="REV_MATERIALNAME">[2]水系统CCS31a90.1!$B$4</definedName>
    <definedName name="REV_NUMBER">[2]水系统CCS31a90.1!$A$4</definedName>
    <definedName name="REV_QTY">[2]水系统CCS31a90.1!$F$4</definedName>
    <definedName name="REV_REMARK">[2]水系统CCS31a90.1!$L$4</definedName>
    <definedName name="REV_STANDARDNO">[2]水系统CCS31a90.1!$C$4</definedName>
    <definedName name="REV_TOTALWEIGHT">[2]水系统CCS31a90.1!$H$4</definedName>
    <definedName name="REV_UNIT">[2]水系统CCS31a90.1!$E$4</definedName>
    <definedName name="REV_UNITWEIGHT">[2]水系统CCS31a90.1!$G$4</definedName>
    <definedName name="wrn.COSTING.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wrn.Price.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xunengqi">[3]泵站各参数表!$AJ$3:$AJ$10</definedName>
    <definedName name="xunhuaguolvqi">[3]泵站各参数表!$AE$3:$AE$11</definedName>
    <definedName name="xunhuanbeng">[3]泵站各参数表!$M$3:$M$23</definedName>
    <definedName name="xunhuanbengdianji">[3]泵站各参数表!$H$3:$H$12</definedName>
    <definedName name="youxiang">[3]泵站各参数表!$R$3:$R$15</definedName>
    <definedName name="zhubengfuzhudaima">[3]泵站各参数表!$A$3:$A$12</definedName>
    <definedName name="报价汇总表1" hidden="1">{#N/A,#N/A,FALSE,"App14-F-A";#N/A,#N/A,FALSE,"App14-F-C";#N/A,#N/A,FALSE,"App14-F-D";#N/A,#N/A,FALSE,"App14-F-E"}</definedName>
    <definedName name="汇总表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___CFJ1">#REF!</definedName>
    <definedName name="__CFJ1">#REF!</definedName>
    <definedName name="__F6">#REF!</definedName>
    <definedName name="_1F6_">#REF!</definedName>
    <definedName name="_CFJ1">#REF!</definedName>
    <definedName name="_F6">#REF!</definedName>
    <definedName name="_Fill" hidden="1">[1]eqpmad2!#REF!</definedName>
    <definedName name="_xlnm._FilterDatabase" hidden="1">#REF!</definedName>
    <definedName name="¿°Ä”ÍˆÍ">#REF!</definedName>
    <definedName name="A">#REF!</definedName>
    <definedName name="aaaa">#REF!</definedName>
    <definedName name="Database" localSheetId="5" hidden="1">#REF!</definedName>
    <definedName name="dss" hidden="1">#REF!</definedName>
    <definedName name="FCV_FB">[7]Configuration!$B$19</definedName>
    <definedName name="FENG10">#REF!</definedName>
    <definedName name="GLB_TT">[7]Configuration!$D$2</definedName>
    <definedName name="ltmc">#REF!</definedName>
    <definedName name="ltmc2">#REF!</definedName>
    <definedName name="ltmc3">#REF!</definedName>
    <definedName name="ltmcc">#REF!</definedName>
    <definedName name="MatSel">#REF!</definedName>
    <definedName name="MatSel_Table">#REF!</definedName>
    <definedName name="one">#REF!</definedName>
    <definedName name="_xlnm.Print_Area" localSheetId="5" hidden="1">#REF!</definedName>
    <definedName name="_xlnm.Print_Titles" hidden="1">#REF!</definedName>
    <definedName name="RH">#REF!</definedName>
    <definedName name="Roll_Type_1_dia">#REF!</definedName>
    <definedName name="Roll_Type_2_dia">#REF!</definedName>
    <definedName name="Roll_Type_3_dia">#REF!</definedName>
    <definedName name="Sep_Hide_Column">#REF!</definedName>
    <definedName name="Sep_Hide_Marker_Column">#REF!</definedName>
    <definedName name="SP_GA_Heater">#REF!</definedName>
    <definedName name="SP_HOSE">#REF!</definedName>
    <definedName name="SP_Idx_Coating">#REF!</definedName>
    <definedName name="SP_Idx_Cooling">#REF!</definedName>
    <definedName name="SP_Idx_Furnace">#REF!</definedName>
    <definedName name="SP_Idx_Galvanneal">#REF!</definedName>
    <definedName name="SP_p_Manometer">#REF!</definedName>
    <definedName name="SP_p_Reg">#REF!</definedName>
    <definedName name="SP_Steering">#REF!</definedName>
    <definedName name="SP_Tensiometer">#REF!</definedName>
    <definedName name="SP_Zinc_Pot">#REF!</definedName>
    <definedName name="SP_Zinc_Pot_El">#REF!</definedName>
    <definedName name="ｘｃ">#REF!</definedName>
    <definedName name="xg">#REF!</definedName>
    <definedName name="ｿｰﾄ範囲">#REF!</definedName>
    <definedName name="安钢">#REF!</definedName>
    <definedName name="鞍钢">#REF!</definedName>
    <definedName name="包钢">#REF!</definedName>
    <definedName name="北部湾钢铁厂">#REF!</definedName>
    <definedName name="北满特钢">#REF!</definedName>
    <definedName name="备件报价">#REF!</definedName>
    <definedName name="本钢">#REF!</definedName>
    <definedName name="比">#REF!</definedName>
    <definedName name="编号">#REF!</definedName>
    <definedName name="编号终点">#REF!</definedName>
    <definedName name="承德钢厂">#REF!</definedName>
    <definedName name="崇利制钢有限公司">#REF!</definedName>
    <definedName name="大冶钢厂">#REF!</definedName>
    <definedName name="大冶县钢厂">#REF!</definedName>
    <definedName name="电缆">#REF!</definedName>
    <definedName name="电力复制02">#REF!</definedName>
    <definedName name="电气">#REF!</definedName>
    <definedName name="吊车">#REF!</definedName>
    <definedName name="吊车1">#REF!</definedName>
    <definedName name="鄂城钢铁厂">#REF!</definedName>
    <definedName name="鄂西钢厂">#REF!</definedName>
    <definedName name="鄂西高磷矿">#REF!</definedName>
    <definedName name="鄂州工程">#REF!</definedName>
    <definedName name="非封">#REF!</definedName>
    <definedName name="风6">#REF!</definedName>
    <definedName name="风7">#REF!</definedName>
    <definedName name="封">#REF!</definedName>
    <definedName name="个">#REF!</definedName>
    <definedName name="更1002">#REF!</definedName>
    <definedName name="工艺设备总量">#REF!</definedName>
    <definedName name="广东地区电厂">#REF!</definedName>
    <definedName name="广钢">#REF!</definedName>
    <definedName name="规格">#REF!</definedName>
    <definedName name="国外工程">#REF!</definedName>
    <definedName name="海南钢厂">#REF!</definedName>
    <definedName name="海南冷轧薄板厂">#REF!</definedName>
    <definedName name="海鑫钢铁有限公司">#REF!</definedName>
    <definedName name="邯钢">#REF!</definedName>
    <definedName name="杭钢">#REF!</definedName>
    <definedName name="衡阳钢厂">#REF!</definedName>
    <definedName name="黄石、安陆工程">#REF!</definedName>
    <definedName name="机修">#REF!</definedName>
    <definedName name="基础1">#REF!</definedName>
    <definedName name="技术储备资料">#REF!</definedName>
    <definedName name="济钢">#REF!</definedName>
    <definedName name="建龙">#REF!</definedName>
    <definedName name="江苏地区电厂">#REF!</definedName>
    <definedName name="江西省工程">#REF!</definedName>
    <definedName name="焦作钢厂">#REF!</definedName>
    <definedName name="津西钢厂">#REF!</definedName>
    <definedName name="酒钢">#REF!</definedName>
    <definedName name="莱钢">#REF!</definedName>
    <definedName name="力333333333333">#REF!</definedName>
    <definedName name="涟源钢厂">#REF!</definedName>
    <definedName name="临钢">#REF!</definedName>
    <definedName name="柳钢">#REF!</definedName>
    <definedName name="美元汇率">[8]参数表!$C$4</definedName>
    <definedName name="名称">#REF!</definedName>
    <definedName name="名称123">#REF!</definedName>
    <definedName name="耐550℃高温">#REF!</definedName>
    <definedName name="南京钢铁厂">#REF!</definedName>
    <definedName name="盘柜号">#REF!</definedName>
    <definedName name="鹏达钢板有限公司">#REF!</definedName>
    <definedName name="齐钢">#REF!</definedName>
    <definedName name="其">#REF!</definedName>
    <definedName name="燃气复制">#REF!</definedName>
    <definedName name="热1">#REF!</definedName>
    <definedName name="热力">#REF!</definedName>
    <definedName name="热力复制">#REF!</definedName>
    <definedName name="热力复制02">#REF!</definedName>
    <definedName name="沙市工程">#REF!</definedName>
    <definedName name="上钢">#REF!</definedName>
    <definedName name="上海自行车厂">#REF!</definedName>
    <definedName name="韶钢">#REF!</definedName>
    <definedName name="设计">#REF!</definedName>
    <definedName name="设计收费">#REF!</definedName>
    <definedName name="十堰工程">#REF!</definedName>
    <definedName name="首钢">#REF!</definedName>
    <definedName name="水钢">#REF!</definedName>
    <definedName name="松江工业开发区">#REF!</definedName>
    <definedName name="宋体">#REF!</definedName>
    <definedName name="酸再生站工艺">#REF!</definedName>
    <definedName name="太钢">#REF!</definedName>
    <definedName name="唐钢">#REF!</definedName>
    <definedName name="桃浦工业区">#REF!</definedName>
    <definedName name="通风2">#REF!</definedName>
    <definedName name="通钢汇总">#REF!</definedName>
    <definedName name="外汇">#REF!</definedName>
    <definedName name="外汇计算表">#REF!</definedName>
    <definedName name="位置代号">#REF!</definedName>
    <definedName name="武汉市工程">#REF!</definedName>
    <definedName name="武汉院工程">#REF!</definedName>
    <definedName name="下陆钢厂">#REF!</definedName>
    <definedName name="湘钢">#REF!</definedName>
    <definedName name="襄凡钢厂">#REF!</definedName>
    <definedName name="孝感、横店、潜江、汉川、钟祥、鄂州">#REF!</definedName>
    <definedName name="新1">#REF!</definedName>
    <definedName name="新2">#REF!</definedName>
    <definedName name="新3">#REF!</definedName>
    <definedName name="新4">#REF!</definedName>
    <definedName name="新5">#REF!</definedName>
    <definedName name="新6">#REF!</definedName>
    <definedName name="新疆八一钢厂">#REF!</definedName>
    <definedName name="新名称">#REF!</definedName>
    <definedName name="新名称2">#REF!</definedName>
    <definedName name="信阳钢厂">#REF!</definedName>
    <definedName name="型号">#REF!</definedName>
    <definedName name="兴澄钢铁有限公司">#REF!</definedName>
    <definedName name="宣钢">#REF!</definedName>
    <definedName name="液压">#REF!</definedName>
    <definedName name="一电力电力电力">#REF!</definedName>
    <definedName name="宜昌八一钢厂">#REF!</definedName>
    <definedName name="宜昌地区工程">#REF!</definedName>
    <definedName name="引进用汇">#REF!</definedName>
    <definedName name="云南省工程">#REF!</definedName>
    <definedName name="张店钢厂">#REF!</definedName>
    <definedName name="长钢">#REF!</definedName>
    <definedName name="指标">#REF!</definedName>
    <definedName name="中钢制品公司">#REF!</definedName>
    <definedName name="终点">#REF!</definedName>
    <definedName name="重钢">#REF!</definedName>
    <definedName name="珠钢">#REF!</definedName>
    <definedName name="转炉">#REF!</definedName>
    <definedName name="转运战分析">#REF!</definedName>
    <definedName name="庄">#REF!</definedName>
    <definedName name="装">#REF!</definedName>
    <definedName name="状">#REF!</definedName>
    <definedName name="资产评估">#REF!</definedName>
    <definedName name="资金成本">#REF!</definedName>
    <definedName name="总包价不">#REF!</definedName>
    <definedName name="总表二">#REF!</definedName>
    <definedName name="总谷">#REF!</definedName>
    <definedName name="总图">#REF!</definedName>
    <definedName name="BTL_COM_SBBHA4_CCTEC201">#REF!</definedName>
    <definedName name="BTL_COM_CLBHA4_CCTEC241">#REF!</definedName>
    <definedName name="___CFJ1" localSheetId="5">#REF!</definedName>
    <definedName name="__CFJ1" localSheetId="5">#REF!</definedName>
    <definedName name="__F6" localSheetId="5">#REF!</definedName>
    <definedName name="_1F6_" localSheetId="5">#REF!</definedName>
    <definedName name="_CFJ1" localSheetId="5">#REF!</definedName>
    <definedName name="_F6" localSheetId="5">#REF!</definedName>
    <definedName name="¿°Ä”ÍˆÍ" localSheetId="5">#REF!</definedName>
    <definedName name="A" localSheetId="5">#REF!</definedName>
    <definedName name="aaaa" localSheetId="5">#REF!</definedName>
    <definedName name="dianji" localSheetId="5">[4]泵站各参数表!$H$3:$H$17</definedName>
    <definedName name="dss" localSheetId="5" hidden="1">#REF!</definedName>
    <definedName name="FCV_FB" localSheetId="5">[5]Configuration!$B$19</definedName>
    <definedName name="FENG10" localSheetId="5">#REF!</definedName>
    <definedName name="gaoyaguolvqi" localSheetId="5">[4]泵站各参数表!$U$3:$U$9</definedName>
    <definedName name="GLB_TT" localSheetId="5">[5]Configuration!$D$2</definedName>
    <definedName name="huiludaima" localSheetId="5">'[4]阀组分档-基本数据源'!$I$23:$I$30</definedName>
    <definedName name="huiyouguolvqi" localSheetId="5">[4]泵站各参数表!$Z$3:$Z$9</definedName>
    <definedName name="ltmc" localSheetId="5">#REF!</definedName>
    <definedName name="ltmc2" localSheetId="5">#REF!</definedName>
    <definedName name="ltmc3" localSheetId="5">#REF!</definedName>
    <definedName name="ltmcc" localSheetId="5">#REF!</definedName>
    <definedName name="MatSel" localSheetId="5">#REF!</definedName>
    <definedName name="MatSel_Table" localSheetId="5">#REF!</definedName>
    <definedName name="one" localSheetId="5">#REF!</definedName>
    <definedName name="RH" localSheetId="5">#REF!</definedName>
    <definedName name="Roll_Type_1_dia" localSheetId="5">#REF!</definedName>
    <definedName name="Roll_Type_2_dia" localSheetId="5">#REF!</definedName>
    <definedName name="Roll_Type_3_dia" localSheetId="5">#REF!</definedName>
    <definedName name="Sep_Hide_Column" localSheetId="5">#REF!</definedName>
    <definedName name="Sep_Hide_Marker_Column" localSheetId="5">#REF!</definedName>
    <definedName name="SP_GA_Heater" localSheetId="5">#REF!</definedName>
    <definedName name="SP_HOSE" localSheetId="5">#REF!</definedName>
    <definedName name="SP_Idx_Coating" localSheetId="5">#REF!</definedName>
    <definedName name="SP_Idx_Cooling" localSheetId="5">#REF!</definedName>
    <definedName name="SP_Idx_Furnace" localSheetId="5">#REF!</definedName>
    <definedName name="SP_Idx_Galvanneal" localSheetId="5">#REF!</definedName>
    <definedName name="SP_p_Manometer" localSheetId="5">#REF!</definedName>
    <definedName name="SP_p_Reg" localSheetId="5">#REF!</definedName>
    <definedName name="SP_Steering" localSheetId="5">#REF!</definedName>
    <definedName name="SP_Tensiometer" localSheetId="5">#REF!</definedName>
    <definedName name="SP_Zinc_Pot" localSheetId="5">#REF!</definedName>
    <definedName name="SP_Zinc_Pot_El" localSheetId="5">#REF!</definedName>
    <definedName name="ｘｃ" localSheetId="5">#REF!</definedName>
    <definedName name="xg" localSheetId="5">#REF!</definedName>
    <definedName name="xunengqi" localSheetId="5">[4]泵站各参数表!$AJ$3:$AJ$10</definedName>
    <definedName name="xunhuaguolvqi" localSheetId="5">[4]泵站各参数表!$AE$3:$AE$11</definedName>
    <definedName name="xunhuanbeng" localSheetId="5">[4]泵站各参数表!$M$3:$M$23</definedName>
    <definedName name="xunhuanbengdianji" localSheetId="5">[4]泵站各参数表!$H$3:$H$12</definedName>
    <definedName name="youxiang" localSheetId="5">[4]泵站各参数表!$R$3:$R$15</definedName>
    <definedName name="zhubengfuzhudaima" localSheetId="5">[4]泵站各参数表!$A$3:$A$12</definedName>
    <definedName name="ｿｰﾄ範囲" localSheetId="5">#REF!</definedName>
    <definedName name="安钢" localSheetId="5">#REF!</definedName>
    <definedName name="鞍钢" localSheetId="5">#REF!</definedName>
    <definedName name="包钢" localSheetId="5">#REF!</definedName>
    <definedName name="北部湾钢铁厂" localSheetId="5">#REF!</definedName>
    <definedName name="北满特钢" localSheetId="5">#REF!</definedName>
    <definedName name="备件报价" localSheetId="5">#REF!</definedName>
    <definedName name="本钢" localSheetId="5">#REF!</definedName>
    <definedName name="比" localSheetId="5">#REF!</definedName>
    <definedName name="编号" localSheetId="5">#REF!</definedName>
    <definedName name="编号终点" localSheetId="5">#REF!</definedName>
    <definedName name="承德钢厂" localSheetId="5">#REF!</definedName>
    <definedName name="崇利制钢有限公司" localSheetId="5">#REF!</definedName>
    <definedName name="大冶钢厂" localSheetId="5">#REF!</definedName>
    <definedName name="大冶县钢厂" localSheetId="5">#REF!</definedName>
    <definedName name="电缆" localSheetId="5">#REF!</definedName>
    <definedName name="电力复制02" localSheetId="5">#REF!</definedName>
    <definedName name="电气" localSheetId="5">#REF!</definedName>
    <definedName name="吊车" localSheetId="5">#REF!</definedName>
    <definedName name="吊车1" localSheetId="5">#REF!</definedName>
    <definedName name="鄂城钢铁厂" localSheetId="5">#REF!</definedName>
    <definedName name="鄂西钢厂" localSheetId="5">#REF!</definedName>
    <definedName name="鄂西高磷矿" localSheetId="5">#REF!</definedName>
    <definedName name="鄂州工程" localSheetId="5">#REF!</definedName>
    <definedName name="非封" localSheetId="5">#REF!</definedName>
    <definedName name="风6" localSheetId="5">#REF!</definedName>
    <definedName name="风7" localSheetId="5">#REF!</definedName>
    <definedName name="封" localSheetId="5">#REF!</definedName>
    <definedName name="个" localSheetId="5">#REF!</definedName>
    <definedName name="更1002" localSheetId="5">#REF!</definedName>
    <definedName name="工艺设备总量" localSheetId="5">#REF!</definedName>
    <definedName name="广东地区电厂" localSheetId="5">#REF!</definedName>
    <definedName name="广钢" localSheetId="5">#REF!</definedName>
    <definedName name="规格" localSheetId="5">#REF!</definedName>
    <definedName name="国外工程" localSheetId="5">#REF!</definedName>
    <definedName name="海南钢厂" localSheetId="5">#REF!</definedName>
    <definedName name="海南冷轧薄板厂" localSheetId="5">#REF!</definedName>
    <definedName name="海鑫钢铁有限公司" localSheetId="5">#REF!</definedName>
    <definedName name="邯钢" localSheetId="5">#REF!</definedName>
    <definedName name="杭钢" localSheetId="5">#REF!</definedName>
    <definedName name="衡阳钢厂" localSheetId="5">#REF!</definedName>
    <definedName name="黄石、安陆工程" localSheetId="5">#REF!</definedName>
    <definedName name="机修" localSheetId="5">#REF!</definedName>
    <definedName name="基础1" localSheetId="5">#REF!</definedName>
    <definedName name="技术储备资料" localSheetId="5">#REF!</definedName>
    <definedName name="济钢" localSheetId="5">#REF!</definedName>
    <definedName name="建龙" localSheetId="5">#REF!</definedName>
    <definedName name="江苏地区电厂" localSheetId="5">#REF!</definedName>
    <definedName name="江西省工程" localSheetId="5">#REF!</definedName>
    <definedName name="焦作钢厂" localSheetId="5">#REF!</definedName>
    <definedName name="津西钢厂" localSheetId="5">#REF!</definedName>
    <definedName name="酒钢" localSheetId="5">#REF!</definedName>
    <definedName name="莱钢" localSheetId="5">#REF!</definedName>
    <definedName name="力333333333333" localSheetId="5">#REF!</definedName>
    <definedName name="涟源钢厂" localSheetId="5">#REF!</definedName>
    <definedName name="临钢" localSheetId="5">#REF!</definedName>
    <definedName name="柳钢" localSheetId="5">#REF!</definedName>
    <definedName name="美元汇率" localSheetId="5">[6]参数表!$C$4</definedName>
    <definedName name="名称" localSheetId="5">#REF!</definedName>
    <definedName name="名称123" localSheetId="5">#REF!</definedName>
    <definedName name="耐550℃高温" localSheetId="5">#REF!</definedName>
    <definedName name="南京钢铁厂" localSheetId="5">#REF!</definedName>
    <definedName name="盘柜号" localSheetId="5">#REF!</definedName>
    <definedName name="鹏达钢板有限公司" localSheetId="5">#REF!</definedName>
    <definedName name="齐钢" localSheetId="5">#REF!</definedName>
    <definedName name="其" localSheetId="5">#REF!</definedName>
    <definedName name="燃气复制" localSheetId="5">#REF!</definedName>
    <definedName name="热1" localSheetId="5">#REF!</definedName>
    <definedName name="热力" localSheetId="5">#REF!</definedName>
    <definedName name="热力复制" localSheetId="5">#REF!</definedName>
    <definedName name="热力复制02" localSheetId="5">#REF!</definedName>
    <definedName name="沙市工程" localSheetId="5">#REF!</definedName>
    <definedName name="上钢" localSheetId="5">#REF!</definedName>
    <definedName name="上海自行车厂" localSheetId="5">#REF!</definedName>
    <definedName name="韶钢" localSheetId="5">#REF!</definedName>
    <definedName name="设计" localSheetId="5">#REF!</definedName>
    <definedName name="设计收费" localSheetId="5">#REF!</definedName>
    <definedName name="十堰工程" localSheetId="5">#REF!</definedName>
    <definedName name="首钢" localSheetId="5">#REF!</definedName>
    <definedName name="水钢" localSheetId="5">#REF!</definedName>
    <definedName name="松江工业开发区" localSheetId="5">#REF!</definedName>
    <definedName name="宋体" localSheetId="5">#REF!</definedName>
    <definedName name="酸再生站工艺" localSheetId="5">#REF!</definedName>
    <definedName name="太钢" localSheetId="5">#REF!</definedName>
    <definedName name="唐钢" localSheetId="5">#REF!</definedName>
    <definedName name="桃浦工业区" localSheetId="5">#REF!</definedName>
    <definedName name="通风2" localSheetId="5">#REF!</definedName>
    <definedName name="通钢汇总" localSheetId="5">#REF!</definedName>
    <definedName name="外汇" localSheetId="5">#REF!</definedName>
    <definedName name="外汇计算表" localSheetId="5">#REF!</definedName>
    <definedName name="位置代号" localSheetId="5">#REF!</definedName>
    <definedName name="武汉市工程" localSheetId="5">#REF!</definedName>
    <definedName name="武汉院工程" localSheetId="5">#REF!</definedName>
    <definedName name="下陆钢厂" localSheetId="5">#REF!</definedName>
    <definedName name="湘钢" localSheetId="5">#REF!</definedName>
    <definedName name="襄凡钢厂" localSheetId="5">#REF!</definedName>
    <definedName name="孝感、横店、潜江、汉川、钟祥、鄂州" localSheetId="5">#REF!</definedName>
    <definedName name="新1" localSheetId="5">#REF!</definedName>
    <definedName name="新2" localSheetId="5">#REF!</definedName>
    <definedName name="新3" localSheetId="5">#REF!</definedName>
    <definedName name="新4" localSheetId="5">#REF!</definedName>
    <definedName name="新5" localSheetId="5">#REF!</definedName>
    <definedName name="新6" localSheetId="5">#REF!</definedName>
    <definedName name="新疆八一钢厂" localSheetId="5">#REF!</definedName>
    <definedName name="新名称" localSheetId="5">#REF!</definedName>
    <definedName name="新名称2" localSheetId="5">#REF!</definedName>
    <definedName name="信阳钢厂" localSheetId="5">#REF!</definedName>
    <definedName name="型号" localSheetId="5">#REF!</definedName>
    <definedName name="兴澄钢铁有限公司" localSheetId="5">#REF!</definedName>
    <definedName name="宣钢" localSheetId="5">#REF!</definedName>
    <definedName name="液压" localSheetId="5">#REF!</definedName>
    <definedName name="一电力电力电力" localSheetId="5">#REF!</definedName>
    <definedName name="宜昌八一钢厂" localSheetId="5">#REF!</definedName>
    <definedName name="宜昌地区工程" localSheetId="5">#REF!</definedName>
    <definedName name="引进用汇" localSheetId="5">#REF!</definedName>
    <definedName name="云南省工程" localSheetId="5">#REF!</definedName>
    <definedName name="张店钢厂" localSheetId="5">#REF!</definedName>
    <definedName name="长钢" localSheetId="5">#REF!</definedName>
    <definedName name="指标" localSheetId="5">#REF!</definedName>
    <definedName name="中钢制品公司" localSheetId="5">#REF!</definedName>
    <definedName name="终点" localSheetId="5">#REF!</definedName>
    <definedName name="重钢" localSheetId="5">#REF!</definedName>
    <definedName name="珠钢" localSheetId="5">#REF!</definedName>
    <definedName name="转炉" localSheetId="5">#REF!</definedName>
    <definedName name="转运战分析" localSheetId="5">#REF!</definedName>
    <definedName name="庄" localSheetId="5">#REF!</definedName>
    <definedName name="装" localSheetId="5">#REF!</definedName>
    <definedName name="状" localSheetId="5">#REF!</definedName>
    <definedName name="资产评估" localSheetId="5">#REF!</definedName>
    <definedName name="资金成本" localSheetId="5">#REF!</definedName>
    <definedName name="总包价不" localSheetId="5">#REF!</definedName>
    <definedName name="总表二" localSheetId="5">#REF!</definedName>
    <definedName name="总谷" localSheetId="5">#REF!</definedName>
    <definedName name="总图" localSheetId="5">#REF!</definedName>
    <definedName name="Database" localSheetId="4" hidden="1">#REF!</definedName>
    <definedName name="_xlnm.Print_Area" localSheetId="4" hidden="1">#REF!</definedName>
    <definedName name="_2a11_" localSheetId="4" hidden="1">{#N/A,#N/A,FALSE,"App14-F-A";#N/A,#N/A,FALSE,"App14-F-C";#N/A,#N/A,FALSE,"App14-F-D";#N/A,#N/A,FALSE,"App14-F-E"}</definedName>
    <definedName name="bb" localSheetId="4" hidden="1">{#N/A,#N/A,FALSE,"App14-F-A";#N/A,#N/A,FALSE,"App14-F-C";#N/A,#N/A,FALSE,"App14-F-D";#N/A,#N/A,FALSE,"App14-F-E"}</definedName>
    <definedName name="bbv" localSheetId="4" hidden="1">{#N/A,#N/A,FALSE,"App14-F-A";#N/A,#N/A,FALSE,"App14-F-C";#N/A,#N/A,FALSE,"App14-F-D";#N/A,#N/A,FALSE,"App14-F-E"}</definedName>
    <definedName name="Elec_TMEIC" localSheetId="4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ff" localSheetId="4" hidden="1">{#N/A,#N/A,FALSE,"App14-F-A";#N/A,#N/A,FALSE,"APP14-T-A";#N/A,#N/A,FALSE,"App14-F-C";#N/A,#N/A,FALSE,"App14-F-D";#N/A,#N/A,FALSE,"APP14-T-D";#N/A,#N/A,FALSE,"App14-F-E";#N/A,#N/A,FALSE,"APP14-T (2)"}</definedName>
    <definedName name="ggf" localSheetId="4" hidden="1">{#N/A,#N/A,FALSE,"App14-F-A";#N/A,#N/A,FALSE,"App14-F-C";#N/A,#N/A,FALSE,"App14-F-D";#N/A,#N/A,FALSE,"App14-F-E"}</definedName>
    <definedName name="HTML_Control" localSheetId="4" hidden="1">{"'报表'!$F$15"}</definedName>
    <definedName name="LF" localSheetId="4" hidden="1">{#N/A,#N/A,FALSE,"App14-F-A";#N/A,#N/A,FALSE,"App14-F-C";#N/A,#N/A,FALSE,"App14-F-D";#N/A,#N/A,FALSE,"App14-F-E"}</definedName>
    <definedName name="wrn.App14_F." localSheetId="4" hidden="1">{#N/A,#N/A,FALSE,"App14-F-A";#N/A,#N/A,FALSE,"APP14-T-A";#N/A,#N/A,FALSE,"App14-F-C";#N/A,#N/A,FALSE,"App14-F-D";#N/A,#N/A,FALSE,"APP14-T-D";#N/A,#N/A,FALSE,"App14-F-E";#N/A,#N/A,FALSE,"APP14-T (2)"}</definedName>
    <definedName name="wrn.COSTING." localSheetId="4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wrn.Price." localSheetId="4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甲供材料计算" localSheetId="4" hidden="1">{"'报表'!$F$15"}</definedName>
    <definedName name="Database" localSheetId="3" hidden="1">#REF!</definedName>
    <definedName name="_xlnm.Print_Area" localSheetId="3" hidden="1">#REF!</definedName>
    <definedName name="_2a11_" localSheetId="3" hidden="1">{#N/A,#N/A,FALSE,"App14-F-A";#N/A,#N/A,FALSE,"App14-F-C";#N/A,#N/A,FALSE,"App14-F-D";#N/A,#N/A,FALSE,"App14-F-E"}</definedName>
    <definedName name="bb" localSheetId="3" hidden="1">{#N/A,#N/A,FALSE,"App14-F-A";#N/A,#N/A,FALSE,"App14-F-C";#N/A,#N/A,FALSE,"App14-F-D";#N/A,#N/A,FALSE,"App14-F-E"}</definedName>
    <definedName name="bbv" localSheetId="3" hidden="1">{#N/A,#N/A,FALSE,"App14-F-A";#N/A,#N/A,FALSE,"App14-F-C";#N/A,#N/A,FALSE,"App14-F-D";#N/A,#N/A,FALSE,"App14-F-E"}</definedName>
    <definedName name="Elec_TMEIC" localSheetId="3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ff" localSheetId="3" hidden="1">{#N/A,#N/A,FALSE,"App14-F-A";#N/A,#N/A,FALSE,"APP14-T-A";#N/A,#N/A,FALSE,"App14-F-C";#N/A,#N/A,FALSE,"App14-F-D";#N/A,#N/A,FALSE,"APP14-T-D";#N/A,#N/A,FALSE,"App14-F-E";#N/A,#N/A,FALSE,"APP14-T (2)"}</definedName>
    <definedName name="ggf" localSheetId="3" hidden="1">{#N/A,#N/A,FALSE,"App14-F-A";#N/A,#N/A,FALSE,"App14-F-C";#N/A,#N/A,FALSE,"App14-F-D";#N/A,#N/A,FALSE,"App14-F-E"}</definedName>
    <definedName name="HTML_Control" localSheetId="3" hidden="1">{"'报表'!$F$15"}</definedName>
    <definedName name="LF" localSheetId="3" hidden="1">{#N/A,#N/A,FALSE,"App14-F-A";#N/A,#N/A,FALSE,"App14-F-C";#N/A,#N/A,FALSE,"App14-F-D";#N/A,#N/A,FALSE,"App14-F-E"}</definedName>
    <definedName name="wrn.App14_F." localSheetId="3" hidden="1">{#N/A,#N/A,FALSE,"App14-F-A";#N/A,#N/A,FALSE,"APP14-T-A";#N/A,#N/A,FALSE,"App14-F-C";#N/A,#N/A,FALSE,"App14-F-D";#N/A,#N/A,FALSE,"APP14-T-D";#N/A,#N/A,FALSE,"App14-F-E";#N/A,#N/A,FALSE,"APP14-T (2)"}</definedName>
    <definedName name="wrn.COSTING." localSheetId="3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wrn.Price." localSheetId="3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甲供材料计算" localSheetId="3" hidden="1">{"'报表'!$F$15"}</definedName>
    <definedName name="Database" localSheetId="2" hidden="1">#REF!</definedName>
    <definedName name="_xlnm.Print_Area" localSheetId="2" hidden="1">#REF!</definedName>
    <definedName name="_2a11_" localSheetId="2" hidden="1">{#N/A,#N/A,FALSE,"App14-F-A";#N/A,#N/A,FALSE,"App14-F-C";#N/A,#N/A,FALSE,"App14-F-D";#N/A,#N/A,FALSE,"App14-F-E"}</definedName>
    <definedName name="bb" localSheetId="2" hidden="1">{#N/A,#N/A,FALSE,"App14-F-A";#N/A,#N/A,FALSE,"App14-F-C";#N/A,#N/A,FALSE,"App14-F-D";#N/A,#N/A,FALSE,"App14-F-E"}</definedName>
    <definedName name="bbv" localSheetId="2" hidden="1">{#N/A,#N/A,FALSE,"App14-F-A";#N/A,#N/A,FALSE,"App14-F-C";#N/A,#N/A,FALSE,"App14-F-D";#N/A,#N/A,FALSE,"App14-F-E"}</definedName>
    <definedName name="Elec_TMEIC" localSheetId="2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ff" localSheetId="2" hidden="1">{#N/A,#N/A,FALSE,"App14-F-A";#N/A,#N/A,FALSE,"APP14-T-A";#N/A,#N/A,FALSE,"App14-F-C";#N/A,#N/A,FALSE,"App14-F-D";#N/A,#N/A,FALSE,"APP14-T-D";#N/A,#N/A,FALSE,"App14-F-E";#N/A,#N/A,FALSE,"APP14-T (2)"}</definedName>
    <definedName name="ggf" localSheetId="2" hidden="1">{#N/A,#N/A,FALSE,"App14-F-A";#N/A,#N/A,FALSE,"App14-F-C";#N/A,#N/A,FALSE,"App14-F-D";#N/A,#N/A,FALSE,"App14-F-E"}</definedName>
    <definedName name="HTML_Control" localSheetId="2" hidden="1">{"'报表'!$F$15"}</definedName>
    <definedName name="LF" localSheetId="2" hidden="1">{#N/A,#N/A,FALSE,"App14-F-A";#N/A,#N/A,FALSE,"App14-F-C";#N/A,#N/A,FALSE,"App14-F-D";#N/A,#N/A,FALSE,"App14-F-E"}</definedName>
    <definedName name="wrn.App14_F." localSheetId="2" hidden="1">{#N/A,#N/A,FALSE,"App14-F-A";#N/A,#N/A,FALSE,"APP14-T-A";#N/A,#N/A,FALSE,"App14-F-C";#N/A,#N/A,FALSE,"App14-F-D";#N/A,#N/A,FALSE,"APP14-T-D";#N/A,#N/A,FALSE,"App14-F-E";#N/A,#N/A,FALSE,"APP14-T (2)"}</definedName>
    <definedName name="wrn.COSTING." localSheetId="2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wrn.Price." localSheetId="2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甲供材料计算" localSheetId="2" hidden="1">{"'报表'!$F$15"}</definedName>
    <definedName name="Database" localSheetId="1" hidden="1">#REF!</definedName>
    <definedName name="_xlnm.Print_Titles" localSheetId="1">表2清单!$1:$3</definedName>
    <definedName name="仪表">[9]钢筋!$A$6:$T$12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<sst xmlns="http://schemas.openxmlformats.org/spreadsheetml/2006/main" count="2106" uniqueCount="1099">
  <si>
    <r>
      <rPr>
        <sz val="12"/>
        <rFont val="宋体"/>
        <charset val="134"/>
      </rPr>
      <t>表</t>
    </r>
    <r>
      <rPr>
        <sz val="12"/>
        <rFont val="Times New Roman"/>
        <charset val="134"/>
      </rPr>
      <t xml:space="preserve">1   </t>
    </r>
    <r>
      <rPr>
        <sz val="12"/>
        <rFont val="宋体"/>
        <charset val="134"/>
      </rPr>
      <t>报</t>
    </r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价</t>
    </r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汇</t>
    </r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总</t>
    </r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表</t>
    </r>
  </si>
  <si>
    <r>
      <rPr>
        <sz val="9"/>
        <rFont val="宋体"/>
        <charset val="134"/>
      </rPr>
      <t>序号</t>
    </r>
  </si>
  <si>
    <r>
      <rPr>
        <sz val="9"/>
        <rFont val="宋体"/>
        <charset val="134"/>
      </rPr>
      <t>标段</t>
    </r>
  </si>
  <si>
    <r>
      <rPr>
        <sz val="9"/>
        <rFont val="宋体"/>
        <charset val="134"/>
      </rPr>
      <t>工程项目及费用名称</t>
    </r>
  </si>
  <si>
    <r>
      <rPr>
        <sz val="9"/>
        <rFont val="宋体"/>
        <charset val="134"/>
      </rPr>
      <t>报价（元）</t>
    </r>
  </si>
  <si>
    <r>
      <rPr>
        <sz val="9"/>
        <rFont val="宋体"/>
        <charset val="134"/>
      </rPr>
      <t>其中：主材费</t>
    </r>
  </si>
  <si>
    <r>
      <rPr>
        <sz val="9"/>
        <rFont val="宋体"/>
        <charset val="134"/>
      </rPr>
      <t>其中：人工费</t>
    </r>
  </si>
  <si>
    <r>
      <rPr>
        <sz val="9"/>
        <rFont val="宋体"/>
        <charset val="134"/>
      </rPr>
      <t>备注</t>
    </r>
  </si>
  <si>
    <r>
      <rPr>
        <sz val="9"/>
        <rFont val="宋体"/>
        <charset val="134"/>
      </rPr>
      <t>一、工程费</t>
    </r>
  </si>
  <si>
    <r>
      <rPr>
        <sz val="9"/>
        <rFont val="宋体"/>
        <charset val="134"/>
      </rPr>
      <t>柳钢股份转炉厂二区一罐制及脱硫站升级改造工程</t>
    </r>
    <r>
      <rPr>
        <sz val="9"/>
        <rFont val="Times New Roman"/>
        <charset val="134"/>
      </rPr>
      <t>(LZG0225J1)</t>
    </r>
  </si>
  <si>
    <t>1：土建工程</t>
  </si>
  <si>
    <t>2：工艺设施</t>
  </si>
  <si>
    <t>3：燃气设施</t>
  </si>
  <si>
    <t>4：热力设施</t>
  </si>
  <si>
    <t>5：给排水设施</t>
  </si>
  <si>
    <t>6：通风设施</t>
  </si>
  <si>
    <t>7：电气设施</t>
  </si>
  <si>
    <t>8：电力设施</t>
  </si>
  <si>
    <t>9：仪表设施</t>
  </si>
  <si>
    <t>10：计算机</t>
  </si>
  <si>
    <t>11：自动扒渣系统</t>
  </si>
  <si>
    <t>12：罐架识别系统</t>
  </si>
  <si>
    <t>13：电讯设施</t>
  </si>
  <si>
    <t>14：总图设施</t>
  </si>
  <si>
    <t>15：拆除</t>
  </si>
  <si>
    <r>
      <rPr>
        <sz val="9"/>
        <rFont val="Times New Roman"/>
        <charset val="134"/>
      </rPr>
      <t>16</t>
    </r>
    <r>
      <rPr>
        <sz val="9"/>
        <rFont val="宋体"/>
        <charset val="134"/>
      </rPr>
      <t>：测量</t>
    </r>
  </si>
  <si>
    <t>工程费用小计</t>
  </si>
  <si>
    <r>
      <rPr>
        <sz val="9"/>
        <rFont val="宋体"/>
        <charset val="134"/>
      </rPr>
      <t>其中：安全文明施工费</t>
    </r>
  </si>
  <si>
    <r>
      <rPr>
        <sz val="9"/>
        <rFont val="宋体"/>
        <charset val="134"/>
      </rPr>
      <t>二、其他费</t>
    </r>
  </si>
  <si>
    <r>
      <rPr>
        <b/>
        <sz val="9"/>
        <rFont val="宋体"/>
        <charset val="134"/>
      </rPr>
      <t>合计</t>
    </r>
  </si>
  <si>
    <r>
      <rPr>
        <sz val="11"/>
        <color indexed="8"/>
        <rFont val="宋体"/>
        <charset val="134"/>
      </rPr>
      <t>投标总报价（大写）：</t>
    </r>
  </si>
  <si>
    <r>
      <rPr>
        <sz val="11"/>
        <color indexed="8"/>
        <rFont val="宋体"/>
        <charset val="134"/>
      </rPr>
      <t>投标单位</t>
    </r>
    <r>
      <rPr>
        <sz val="11"/>
        <color indexed="8"/>
        <rFont val="Times New Roman"/>
        <charset val="134"/>
      </rPr>
      <t>:(</t>
    </r>
    <r>
      <rPr>
        <sz val="11"/>
        <color indexed="8"/>
        <rFont val="宋体"/>
        <charset val="134"/>
      </rPr>
      <t>盖章</t>
    </r>
    <r>
      <rPr>
        <sz val="11"/>
        <color indexed="8"/>
        <rFont val="Times New Roman"/>
        <charset val="134"/>
      </rPr>
      <t>)</t>
    </r>
  </si>
  <si>
    <r>
      <rPr>
        <sz val="11"/>
        <color indexed="8"/>
        <rFont val="宋体"/>
        <charset val="134"/>
      </rPr>
      <t>法定代表人</t>
    </r>
    <r>
      <rPr>
        <sz val="11"/>
        <color indexed="8"/>
        <rFont val="Times New Roman"/>
        <charset val="134"/>
      </rPr>
      <t>:(</t>
    </r>
    <r>
      <rPr>
        <sz val="11"/>
        <color indexed="8"/>
        <rFont val="宋体"/>
        <charset val="134"/>
      </rPr>
      <t>签字、盖章</t>
    </r>
    <r>
      <rPr>
        <sz val="11"/>
        <color indexed="8"/>
        <rFont val="Times New Roman"/>
        <charset val="134"/>
      </rPr>
      <t>)</t>
    </r>
  </si>
  <si>
    <r>
      <rPr>
        <sz val="11"/>
        <color indexed="8"/>
        <rFont val="宋体"/>
        <charset val="134"/>
      </rPr>
      <t>日期</t>
    </r>
    <r>
      <rPr>
        <sz val="11"/>
        <color indexed="8"/>
        <rFont val="Times New Roman"/>
        <charset val="134"/>
      </rPr>
      <t xml:space="preserve"> 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 xml:space="preserve">   </t>
    </r>
    <r>
      <rPr>
        <sz val="11"/>
        <color indexed="8"/>
        <rFont val="宋体"/>
        <charset val="134"/>
      </rPr>
      <t>年</t>
    </r>
    <r>
      <rPr>
        <sz val="11"/>
        <color indexed="8"/>
        <rFont val="Times New Roman"/>
        <charset val="134"/>
      </rPr>
      <t xml:space="preserve">   </t>
    </r>
    <r>
      <rPr>
        <sz val="11"/>
        <color indexed="8"/>
        <rFont val="宋体"/>
        <charset val="134"/>
      </rPr>
      <t>月</t>
    </r>
    <r>
      <rPr>
        <sz val="11"/>
        <color indexed="8"/>
        <rFont val="Times New Roman"/>
        <charset val="134"/>
      </rPr>
      <t xml:space="preserve">   </t>
    </r>
    <r>
      <rPr>
        <sz val="11"/>
        <color indexed="8"/>
        <rFont val="宋体"/>
        <charset val="134"/>
      </rPr>
      <t>日</t>
    </r>
  </si>
  <si>
    <r>
      <rPr>
        <sz val="10"/>
        <rFont val="宋体"/>
        <charset val="134"/>
      </rPr>
      <t>流水号</t>
    </r>
  </si>
  <si>
    <r>
      <rPr>
        <sz val="10"/>
        <rFont val="宋体"/>
        <charset val="134"/>
      </rPr>
      <t>序号</t>
    </r>
  </si>
  <si>
    <r>
      <rPr>
        <sz val="10"/>
        <rFont val="宋体"/>
        <charset val="134"/>
      </rPr>
      <t>工程或费用名称</t>
    </r>
  </si>
  <si>
    <r>
      <rPr>
        <sz val="10"/>
        <rFont val="宋体"/>
        <charset val="134"/>
      </rPr>
      <t>规格型号</t>
    </r>
  </si>
  <si>
    <r>
      <rPr>
        <sz val="10"/>
        <rFont val="宋体"/>
        <charset val="134"/>
      </rPr>
      <t>单位</t>
    </r>
  </si>
  <si>
    <r>
      <rPr>
        <sz val="10"/>
        <rFont val="宋体"/>
        <charset val="134"/>
      </rPr>
      <t>数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量</t>
    </r>
  </si>
  <si>
    <r>
      <rPr>
        <sz val="10"/>
        <rFont val="宋体"/>
        <charset val="134"/>
      </rPr>
      <t>重量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吨</t>
    </r>
    <r>
      <rPr>
        <sz val="10"/>
        <rFont val="Times New Roman"/>
        <charset val="134"/>
      </rPr>
      <t>)</t>
    </r>
  </si>
  <si>
    <t>单价（元）</t>
  </si>
  <si>
    <t>总价（元）</t>
  </si>
  <si>
    <t>主材损耗率%</t>
  </si>
  <si>
    <t>工作内容</t>
  </si>
  <si>
    <r>
      <rPr>
        <sz val="10"/>
        <rFont val="宋体"/>
        <charset val="134"/>
      </rPr>
      <t>单重</t>
    </r>
  </si>
  <si>
    <r>
      <rPr>
        <sz val="10"/>
        <rFont val="宋体"/>
        <charset val="134"/>
      </rPr>
      <t>总重</t>
    </r>
  </si>
  <si>
    <t>综合单价</t>
  </si>
  <si>
    <t>其中：</t>
  </si>
  <si>
    <t>总计</t>
  </si>
  <si>
    <t>主材单价</t>
  </si>
  <si>
    <t>人工费</t>
  </si>
  <si>
    <t>主材总价</t>
  </si>
  <si>
    <t>人工费总价</t>
  </si>
  <si>
    <r>
      <rPr>
        <sz val="10"/>
        <rFont val="宋体"/>
        <charset val="134"/>
      </rPr>
      <t>土建设施</t>
    </r>
  </si>
  <si>
    <r>
      <rPr>
        <sz val="10"/>
        <rFont val="宋体"/>
        <charset val="134"/>
      </rPr>
      <t>新建脱硫主厂房</t>
    </r>
  </si>
  <si>
    <t>1.1.1</t>
  </si>
  <si>
    <t>脱硫厂房基础</t>
  </si>
  <si>
    <t>C30(钢筋单列)</t>
  </si>
  <si>
    <t>立方米</t>
  </si>
  <si>
    <t>降水、排水、挖填运土石方(含特殊爆破)、基础垫层、模板安拆堆放、截（接）桩头、填桩芯、预埋铁件（含钢管、套筒、防雷接地极、地脚螺栓等）制安、砼浇捣养护、脚手架搭拆、铁件刷油、浇灌（灌浆）、固定架制安等全部工作内容</t>
  </si>
  <si>
    <t>1.1.2</t>
  </si>
  <si>
    <t>脱硫厂房基础钢筋</t>
  </si>
  <si>
    <t>各种规格、各种型号、各种材质</t>
  </si>
  <si>
    <t>吨</t>
  </si>
  <si>
    <t>钢筋采购、制作、运输、绑扎安装等全部工作内容</t>
  </si>
  <si>
    <t>1.1.3</t>
  </si>
  <si>
    <t>脱硫主厂房钢结构</t>
  </si>
  <si>
    <t>钢结构设计详图设计、材料供货、除锈防腐、制作、探伤、运输、卸车、拼装、吊装、安装、涂漆、接地等全部工作内容</t>
  </si>
  <si>
    <t>1.1.4</t>
  </si>
  <si>
    <t>屋面彩板</t>
  </si>
  <si>
    <t>屋面采用0.8mm厚单层YX130-333-666（角驰III）型彩色压型钢板</t>
  </si>
  <si>
    <t>平方米</t>
  </si>
  <si>
    <t>墙屋面板(含异型板、零配件)排版、制作、运输、安装等施工图、施工规范要求的全部工作内容</t>
  </si>
  <si>
    <t>1.1.5</t>
  </si>
  <si>
    <t>雨棚彩板</t>
  </si>
  <si>
    <t>0.8厚V125彩钢板</t>
  </si>
  <si>
    <t>同上</t>
  </si>
  <si>
    <t>1.1.6</t>
  </si>
  <si>
    <t>外墙彩板</t>
  </si>
  <si>
    <t>0.6厚V125彩钢板</t>
  </si>
  <si>
    <t>1.1.7</t>
  </si>
  <si>
    <t>外墙采光板</t>
  </si>
  <si>
    <t>1.5mm厚FRP一级阻燃型增强玻璃钢釆光板，板型同墙面</t>
  </si>
  <si>
    <t>1.1.8</t>
  </si>
  <si>
    <t>TPO防水卷材</t>
  </si>
  <si>
    <t>1.5厚，燃烧性能等级不低于B2，卷材随波形铺设。</t>
  </si>
  <si>
    <t>基层处理、涂刷基层处理剂、卷材铺设、收口密封、成品保护等全部工作内容</t>
  </si>
  <si>
    <t>1.1.9</t>
  </si>
  <si>
    <t>砖墙</t>
  </si>
  <si>
    <t>烧结普通砖</t>
  </si>
  <si>
    <t>调运砂浆、运砌砖、砌窗台虎头砖、腰线、门窗套、安放木砖、铁件、粉刷、涂料、脚手架等满足施工图、施工规范要求的全部工作内容</t>
  </si>
  <si>
    <t>1.1.10</t>
  </si>
  <si>
    <t>电动钢卷帘门</t>
  </si>
  <si>
    <t>高5m，宽4m，钢制卷帘门</t>
  </si>
  <si>
    <t>材料供货及敷设安装等满足施工图纸及规范要求的全部工作内容</t>
  </si>
  <si>
    <t>1.1.11</t>
  </si>
  <si>
    <t>钢制防盗门</t>
  </si>
  <si>
    <t>50mm厚</t>
  </si>
  <si>
    <t>1.1.12</t>
  </si>
  <si>
    <t>铝合金推拉窗</t>
  </si>
  <si>
    <t>1.1.13</t>
  </si>
  <si>
    <t>散水</t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</si>
  <si>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80</t>
    </r>
    <r>
      <rPr>
        <sz val="10"/>
        <rFont val="宋体"/>
        <charset val="134"/>
      </rPr>
      <t>厚</t>
    </r>
    <r>
      <rPr>
        <sz val="10"/>
        <rFont val="Times New Roman"/>
        <charset val="134"/>
      </rPr>
      <t>C20</t>
    </r>
    <r>
      <rPr>
        <sz val="10"/>
        <rFont val="宋体"/>
        <charset val="134"/>
      </rPr>
      <t>混凝土面层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撤</t>
    </r>
    <r>
      <rPr>
        <sz val="10"/>
        <rFont val="Times New Roman"/>
        <charset val="134"/>
      </rPr>
      <t>1:1</t>
    </r>
    <r>
      <rPr>
        <sz val="10"/>
        <rFont val="宋体"/>
        <charset val="134"/>
      </rPr>
      <t>水泥砂子压实赶光；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150</t>
    </r>
    <r>
      <rPr>
        <sz val="10"/>
        <rFont val="宋体"/>
        <charset val="134"/>
      </rPr>
      <t>厚粒径</t>
    </r>
    <r>
      <rPr>
        <sz val="10"/>
        <rFont val="Times New Roman"/>
        <charset val="134"/>
      </rPr>
      <t>10~40</t>
    </r>
    <r>
      <rPr>
        <sz val="10"/>
        <rFont val="宋体"/>
        <charset val="134"/>
      </rPr>
      <t>砾石灌</t>
    </r>
    <r>
      <rPr>
        <sz val="10"/>
        <rFont val="Times New Roman"/>
        <charset val="134"/>
      </rPr>
      <t>M2.5</t>
    </r>
    <r>
      <rPr>
        <sz val="10"/>
        <rFont val="宋体"/>
        <charset val="134"/>
      </rPr>
      <t>混合砂浆或</t>
    </r>
    <r>
      <rPr>
        <sz val="10"/>
        <rFont val="Times New Roman"/>
        <charset val="134"/>
      </rPr>
      <t>150</t>
    </r>
    <r>
      <rPr>
        <sz val="10"/>
        <rFont val="宋体"/>
        <charset val="134"/>
      </rPr>
      <t>厚</t>
    </r>
    <r>
      <rPr>
        <sz val="10"/>
        <rFont val="Times New Roman"/>
        <charset val="134"/>
      </rPr>
      <t>3:7</t>
    </r>
    <r>
      <rPr>
        <sz val="10"/>
        <rFont val="宋体"/>
        <charset val="134"/>
      </rPr>
      <t>灰土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夯实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宽出面层</t>
    </r>
    <r>
      <rPr>
        <sz val="10"/>
        <rFont val="Times New Roman"/>
        <charset val="134"/>
      </rPr>
      <t>100</t>
    </r>
    <r>
      <rPr>
        <sz val="10"/>
        <rFont val="宋体"/>
        <charset val="134"/>
      </rPr>
      <t>；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、压实填土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压实系数</t>
    </r>
    <r>
      <rPr>
        <sz val="10"/>
        <rFont val="Times New Roman"/>
        <charset val="134"/>
      </rPr>
      <t>&gt;93%,</t>
    </r>
    <r>
      <rPr>
        <sz val="10"/>
        <rFont val="宋体"/>
        <charset val="134"/>
      </rPr>
      <t>向外坡</t>
    </r>
    <r>
      <rPr>
        <sz val="10"/>
        <rFont val="Times New Roman"/>
        <charset val="134"/>
      </rPr>
      <t>3%~5%</t>
    </r>
  </si>
  <si>
    <t>降水、排水、挖运填土石方、铺设垫层、夯实、模板安拆、浇筑混凝土面层抹灰压实、养护等全部工作内容</t>
  </si>
  <si>
    <t>1.1.14</t>
  </si>
  <si>
    <t>建筑地坪</t>
  </si>
  <si>
    <t>150厚C20素混凝土，垫层300厚碎石</t>
  </si>
  <si>
    <t>降水、排水、挖填运土石方(含特殊爆破)、基础垫层、造型砼、模板安拆堆放、截（接）桩头、填桩芯、预埋铁件（含钢管、套筒、防雷接地极、地脚螺栓等）制安、砼浇捣养护、脚手架搭拆、铁件刷油、浇灌（灌浆）、固定架制安等全部工作内容</t>
  </si>
  <si>
    <t>脱硫站平台</t>
  </si>
  <si>
    <t>1.2.1</t>
  </si>
  <si>
    <t>脱硫平台柱基础</t>
  </si>
  <si>
    <t>1.2.2</t>
  </si>
  <si>
    <t>脱硫站平台钢筋混凝土框架</t>
  </si>
  <si>
    <t>C30耐热钢筋混凝土，耐热温度250度(钢筋单列)</t>
  </si>
  <si>
    <t>1.2.3</t>
  </si>
  <si>
    <t>以上钢筋</t>
  </si>
  <si>
    <t>1.2.4</t>
  </si>
  <si>
    <t>脱硫站平台钢结构</t>
  </si>
  <si>
    <t>钢结构设计详图设计、材料供货、除锈防腐、隔热、制作、探伤、运输、卸车、拼装、吊装、安装、涂漆、接地等全部工作内容</t>
  </si>
  <si>
    <t>1.2.5</t>
  </si>
  <si>
    <t>高位料仓</t>
  </si>
  <si>
    <t>1.2.6</t>
  </si>
  <si>
    <t>平台隔热喷涂料</t>
  </si>
  <si>
    <t>隔热板下部及侧向外表面喷涂 50mm厚隔热材料, 要求耐火度不小于700度，材料容重不大于1t/m3</t>
  </si>
  <si>
    <t>m³</t>
  </si>
  <si>
    <t>供货、接货、开箱清点、场内运输、检、试验、（含外观、理化等检、试验）、铺贴喷隔热材料及配套的固定件、清理表面等全部工作内容</t>
  </si>
  <si>
    <t>1.2.7</t>
  </si>
  <si>
    <t>耐火砖</t>
  </si>
  <si>
    <r>
      <rPr>
        <sz val="10"/>
        <rFont val="宋体"/>
        <charset val="134"/>
      </rPr>
      <t>高铝砖、硅碳砖</t>
    </r>
    <r>
      <rPr>
        <sz val="10"/>
        <rFont val="Times New Roman"/>
        <charset val="134"/>
      </rPr>
      <t>‌</t>
    </r>
    <r>
      <rPr>
        <sz val="10"/>
        <rFont val="宋体"/>
        <charset val="134"/>
      </rPr>
      <t>、镁碳砖；</t>
    </r>
    <r>
      <rPr>
        <sz val="10"/>
        <rFont val="Times New Roman"/>
        <charset val="134"/>
      </rPr>
      <t>1550℃</t>
    </r>
  </si>
  <si>
    <t>供货，接货、开箱清点、运输、检（试）验、（含外观、理化等检、试验）、砌筑（含预砌筑、预组装、选砖、机械集中磨砖、机械集中切砖）、二次勾缝吹风清扫、镶铁件、模板装拆等全部工作内容</t>
  </si>
  <si>
    <r>
      <rPr>
        <sz val="10"/>
        <rFont val="宋体"/>
        <charset val="0"/>
      </rPr>
      <t>脱硫站轨道及基础</t>
    </r>
  </si>
  <si>
    <t>1.3.1</t>
  </si>
  <si>
    <t>轨道基础</t>
  </si>
  <si>
    <t>1.3.2</t>
  </si>
  <si>
    <t>轨道基础钢筋</t>
  </si>
  <si>
    <t>1.3.3</t>
  </si>
  <si>
    <t>地面钢轨</t>
  </si>
  <si>
    <t>矫直、切割、坡口、吊装、手下工焊接、找正、连接接头、压轨器(含主材)供货及安装、车挡制作、接地安装等全部工作内容</t>
  </si>
  <si>
    <t>1.3.4</t>
  </si>
  <si>
    <t>电缆卷筒钢平台</t>
  </si>
  <si>
    <t>新建参观通道</t>
  </si>
  <si>
    <t>1.4.1</t>
  </si>
  <si>
    <t>精炼炉及脱硫走道钢平台</t>
  </si>
  <si>
    <t>1.4.2</t>
  </si>
  <si>
    <t>1.4.3</t>
  </si>
  <si>
    <t>墙面彩板</t>
  </si>
  <si>
    <t>1.4.4</t>
  </si>
  <si>
    <t>钢化玻璃隔断</t>
  </si>
  <si>
    <t>单层钢化玻璃，不小于6mm</t>
  </si>
  <si>
    <t>供货、运输、安装、调试等全部工作内容</t>
  </si>
  <si>
    <r>
      <rPr>
        <sz val="10"/>
        <rFont val="宋体"/>
        <charset val="134"/>
      </rPr>
      <t>建筑小房</t>
    </r>
  </si>
  <si>
    <t>1.5.1</t>
  </si>
  <si>
    <t>液压站</t>
  </si>
  <si>
    <t>砖混结构</t>
  </si>
  <si>
    <t>降水、排水、土石方(含特殊爆破)挖运填、基础、截（接）桩头、桩锚筋、桩锚板、PHC桩混凝土填芯、基坑支护、钢筋供货及制安、混凝土结构（含构件）、砌体及其涂料，楼面顶棚涂料，楼面、屋面及其防水、防火、隔热、保温层，门窗，地面防潮层，地面铺砌、预埋铁件、预埋管道、钢构件、钢结构KMD设计、脚手架，界面剂，伸缩缝，隔断，踢脚线、散水、坡道、装修及零星构筑物(如电缆沟及其盖板)等全部土建工作内容及照明(包括照明电缆电线、配管、灯具、整流器（断路器、触发器）、开关、插座、照明箱等主材供货及安装等) 、防雷接地、室内外给排水（含淋浴、洗脸盆、污水池、大小便器、管道等），空调电源线路、弱电线路及插座等全部工作内容</t>
  </si>
  <si>
    <t>1.5.2</t>
  </si>
  <si>
    <t>操作室（精装修）</t>
  </si>
  <si>
    <t>1.5.3</t>
  </si>
  <si>
    <t>电气室</t>
  </si>
  <si>
    <t>1.5.4</t>
  </si>
  <si>
    <t>工具、休息间</t>
  </si>
  <si>
    <r>
      <rPr>
        <sz val="10"/>
        <rFont val="宋体"/>
        <charset val="134"/>
      </rPr>
      <t>风机房及电气室改造</t>
    </r>
  </si>
  <si>
    <t>1.6.1</t>
  </si>
  <si>
    <t>内墙面</t>
  </si>
  <si>
    <t>1、涂料
2、3厚耐水腻子分遍找平
3、10厚DP M5砂浆（1:1:6水泥石灰膏砂浆）或粉刷石膏砂浆打底抹平</t>
  </si>
  <si>
    <t>调运砂浆、抹灰、涂料等全部工作内容</t>
  </si>
  <si>
    <t>1.6.2</t>
  </si>
  <si>
    <t>顶棚面</t>
  </si>
  <si>
    <t>1、现浇(或预制)钢筋混凝土板
2、2~3厚面层耐水腻子刮平
3、刷(喷)涂料</t>
  </si>
  <si>
    <t>1.6.3</t>
  </si>
  <si>
    <t>电动卷帘门</t>
  </si>
  <si>
    <r>
      <rPr>
        <sz val="10"/>
        <rFont val="宋体"/>
        <charset val="0"/>
      </rPr>
      <t>其他零星构筑物</t>
    </r>
  </si>
  <si>
    <t>1.7.1</t>
  </si>
  <si>
    <t>地下管廊加固混凝土</t>
  </si>
  <si>
    <t>降水、排水、挖填运土石方(含特殊爆破)、基础垫层、模板安拆堆放、截（接）桩头、填桩芯、预埋铁件（含钢管、套筒、防雷接地极、地脚螺栓等）制安、植筋、砼浇捣养护、脚手架搭拆、铁件刷油、浇灌（灌浆）、固定架制安等全部工作内容</t>
  </si>
  <si>
    <t>1.7.2</t>
  </si>
  <si>
    <t>管道支架基础</t>
  </si>
  <si>
    <t>1.7.3</t>
  </si>
  <si>
    <t>烟囱基础</t>
  </si>
  <si>
    <t>1.7.4</t>
  </si>
  <si>
    <t>铁水秤基础</t>
  </si>
  <si>
    <t>1.7.5</t>
  </si>
  <si>
    <t>新建排水沟及盖板</t>
  </si>
  <si>
    <t>1.7.6</t>
  </si>
  <si>
    <t>轨道衡基础</t>
  </si>
  <si>
    <t>1.7.7</t>
  </si>
  <si>
    <t>道口板基础</t>
  </si>
  <si>
    <t>C40(钢筋单列)</t>
  </si>
  <si>
    <t>1.7.8</t>
  </si>
  <si>
    <t>1.7.9</t>
  </si>
  <si>
    <t>管道支架钢结构</t>
  </si>
  <si>
    <t>1.7.10</t>
  </si>
  <si>
    <t>钢烟囱</t>
  </si>
  <si>
    <t>1.7.11</t>
  </si>
  <si>
    <t>1.7.12</t>
  </si>
  <si>
    <t>墙基础</t>
  </si>
  <si>
    <t>1.7.13</t>
  </si>
  <si>
    <t>墙基础钢筋</t>
  </si>
  <si>
    <t>1.7.14</t>
  </si>
  <si>
    <t>240mm厚砖墙</t>
  </si>
  <si>
    <t>1.7.15</t>
  </si>
  <si>
    <t>4厚钢板</t>
  </si>
  <si>
    <t>钢板供货、铺贴及固定等满足施工图、施工规范要求的全部工作内容</t>
  </si>
  <si>
    <t>1.7.16</t>
  </si>
  <si>
    <t>4mm厚PVC门帘</t>
  </si>
  <si>
    <t>1.7.17</t>
  </si>
  <si>
    <t>室外硬化地坪</t>
  </si>
  <si>
    <t>150厚碎石垫层上铺100厚C20细石混凝土</t>
  </si>
  <si>
    <r>
      <rPr>
        <sz val="10"/>
        <rFont val="宋体"/>
        <charset val="134"/>
      </rPr>
      <t>地基处理</t>
    </r>
  </si>
  <si>
    <t>1.8.1</t>
  </si>
  <si>
    <t>钻孔灌注桩</t>
  </si>
  <si>
    <t>C30抗渗(钢筋单列)</t>
  </si>
  <si>
    <t>降水、排水、机械进出场、安装防护口管、钻孔、就位、挖泥浆沟槽、泥浆运输、钢筋笼放置、灌注水下混凝土、压密注浆、振捣、养护；土石方清理运输弃置；桩基检测、检验、试验、报验等全部工作内容</t>
  </si>
  <si>
    <t>1.8.2</t>
  </si>
  <si>
    <t>钻孔灌注桩钢筋</t>
  </si>
  <si>
    <t>1.8.3</t>
  </si>
  <si>
    <t>地基换填</t>
  </si>
  <si>
    <t>级配砂夹石</t>
  </si>
  <si>
    <t>降水、排水、挖填运土石方、换填材料供货填充、碾压夯实等满足施工图、施工规范要求的全部工作内容</t>
  </si>
  <si>
    <r>
      <rPr>
        <sz val="10"/>
        <rFont val="宋体"/>
        <charset val="0"/>
      </rPr>
      <t>工艺设施</t>
    </r>
  </si>
  <si>
    <t>*2.1</t>
  </si>
  <si>
    <r>
      <rPr>
        <sz val="10"/>
        <rFont val="宋体"/>
        <charset val="0"/>
      </rPr>
      <t>设备安装</t>
    </r>
  </si>
  <si>
    <t>*2.1.1</t>
  </si>
  <si>
    <t>搅拌头</t>
  </si>
  <si>
    <t>个</t>
  </si>
  <si>
    <t>接货、开箱清点、场内运输、外观检查、设备清洗、吊装、拼装、联结、安装就位、调整、固定、灌浆、电机检查接线、接地连接及设备本体的单体调试、配合机组联动试车和热负荷试车，以及配合业主办理特种设备、压力管道等报审报验及使用许可证等全部工作内容</t>
  </si>
  <si>
    <t>*2.1.2</t>
  </si>
  <si>
    <t>搅拌头旋转装置</t>
  </si>
  <si>
    <t>套</t>
  </si>
  <si>
    <t>*2.1.3</t>
  </si>
  <si>
    <t>搅拌头升降装置</t>
  </si>
  <si>
    <t>*2.1.4</t>
  </si>
  <si>
    <t>升降导轨及框架</t>
  </si>
  <si>
    <t>*2.1.5</t>
  </si>
  <si>
    <t>称量斗</t>
  </si>
  <si>
    <t>*2.1.6</t>
  </si>
  <si>
    <t>电动升降溜槽</t>
  </si>
  <si>
    <t>*2.1.7</t>
  </si>
  <si>
    <t>翻转检修平台</t>
  </si>
  <si>
    <t>*2.1.8</t>
  </si>
  <si>
    <t>搅拌头更换小车</t>
  </si>
  <si>
    <t>*2.1.9</t>
  </si>
  <si>
    <t>翻板轨道</t>
  </si>
  <si>
    <t>*2.1.10</t>
  </si>
  <si>
    <t>吹气赶渣装置</t>
  </si>
  <si>
    <t>*2.1.11</t>
  </si>
  <si>
    <t>搅拌头吊具</t>
  </si>
  <si>
    <t>*2.1.12</t>
  </si>
  <si>
    <t>铁水倾翻车防尘门</t>
  </si>
  <si>
    <t>*2.1.13</t>
  </si>
  <si>
    <t>渣罐车防尘门</t>
  </si>
  <si>
    <t>*2.1.14</t>
  </si>
  <si>
    <t>破渣装置</t>
  </si>
  <si>
    <t>*2.1.15</t>
  </si>
  <si>
    <t>脱硫液压站</t>
  </si>
  <si>
    <t>*2.1.16</t>
  </si>
  <si>
    <t>料仓顶的布袋除尘器</t>
  </si>
  <si>
    <t>台</t>
  </si>
  <si>
    <t>*2.1.17</t>
  </si>
  <si>
    <t>压力释放阀</t>
  </si>
  <si>
    <t>*2.1.18</t>
  </si>
  <si>
    <t>给料系统的配管</t>
  </si>
  <si>
    <t>*2.1.19</t>
  </si>
  <si>
    <t>给料系统的耐磨弯管</t>
  </si>
  <si>
    <t>*2.1.20</t>
  </si>
  <si>
    <t>给料系统的手动阀门</t>
  </si>
  <si>
    <t>组</t>
  </si>
  <si>
    <t>*2.1.21</t>
  </si>
  <si>
    <t>流化装置（料仓/称量斗）</t>
  </si>
  <si>
    <t>*2.1.22</t>
  </si>
  <si>
    <t>料仓下方的手动物料切断阀</t>
  </si>
  <si>
    <t>*2.1.23</t>
  </si>
  <si>
    <t>料仓下方的旋转给料器</t>
  </si>
  <si>
    <t>*2.1.24</t>
  </si>
  <si>
    <t>称量斗下方气动物料切断阀</t>
  </si>
  <si>
    <t>*2.1.25</t>
  </si>
  <si>
    <t>称量斗下方的旋转给料器</t>
  </si>
  <si>
    <t>*2.1.26</t>
  </si>
  <si>
    <t>软连接件</t>
  </si>
  <si>
    <t>*2.1.27</t>
  </si>
  <si>
    <t>铁水罐倾翻车</t>
  </si>
  <si>
    <t>*2.1.28</t>
  </si>
  <si>
    <t>渣罐车</t>
  </si>
  <si>
    <t>*2.1.29</t>
  </si>
  <si>
    <t>扒渣机</t>
  </si>
  <si>
    <t>*2.1.30</t>
  </si>
  <si>
    <t>测温取样机器人</t>
  </si>
  <si>
    <t>*2.1.31</t>
  </si>
  <si>
    <t>120t铁水包</t>
  </si>
  <si>
    <t>接货、开箱清点、场内运输、外观检查、存放在指定位置保管等全部工作内容</t>
  </si>
  <si>
    <t>*2.1.32</t>
  </si>
  <si>
    <t>金属软管</t>
  </si>
  <si>
    <t>量尺寸、断管、连接接头、钻眼、攻丝、固定等全部工作内容</t>
  </si>
  <si>
    <t>*2.1.33</t>
  </si>
  <si>
    <r>
      <rPr>
        <sz val="10"/>
        <rFont val="Times New Roman"/>
        <charset val="134"/>
      </rPr>
      <t>160t</t>
    </r>
    <r>
      <rPr>
        <sz val="10"/>
        <rFont val="宋体"/>
        <charset val="134"/>
      </rPr>
      <t>铸造起重机龙门钩</t>
    </r>
  </si>
  <si>
    <r>
      <rPr>
        <sz val="10"/>
        <rFont val="宋体"/>
        <charset val="134"/>
      </rPr>
      <t>套</t>
    </r>
  </si>
  <si>
    <t>接货、开箱清点、场内运输、外观检查、设备清洗、吊装、拼装、联结、接地、安装就位、电机检查接线、调整、固定及设备本体的单体调试、空负荷试车、配合机组热负荷试车，以及通过特种设备报验，取得运行合格证书等全部工作内容</t>
  </si>
  <si>
    <t>*2.1.34</t>
  </si>
  <si>
    <r>
      <rPr>
        <sz val="10"/>
        <rFont val="Times New Roman"/>
        <charset val="134"/>
      </rPr>
      <t>16t</t>
    </r>
    <r>
      <rPr>
        <sz val="10"/>
        <rFont val="宋体"/>
        <charset val="134"/>
      </rPr>
      <t>双梁通用桥式起重机</t>
    </r>
  </si>
  <si>
    <r>
      <rPr>
        <sz val="10"/>
        <rFont val="宋体"/>
        <charset val="134"/>
      </rPr>
      <t>个</t>
    </r>
  </si>
  <si>
    <t>*2.1.35</t>
  </si>
  <si>
    <r>
      <rPr>
        <sz val="10"/>
        <rFont val="Times New Roman"/>
        <charset val="134"/>
      </rPr>
      <t>3t</t>
    </r>
    <r>
      <rPr>
        <sz val="10"/>
        <rFont val="宋体"/>
        <charset val="134"/>
      </rPr>
      <t>扒渣板更换电动葫芦</t>
    </r>
  </si>
  <si>
    <t>接货、开箱清点、场内运输、外观检查、设备清洗、吊装、拼装、联结、接地、安装就位、调整、固定、配套电气材料供货及安装、设备本体的单体调试、空负荷试车、配合机组热负荷试车，以及通过特种设备报验，取得运行合格证书等全部工作内容</t>
  </si>
  <si>
    <t>*2.1.36</t>
  </si>
  <si>
    <r>
      <rPr>
        <sz val="10"/>
        <rFont val="Times New Roman"/>
        <charset val="134"/>
      </rPr>
      <t>1t</t>
    </r>
    <r>
      <rPr>
        <sz val="10"/>
        <rFont val="宋体"/>
        <charset val="134"/>
      </rPr>
      <t>吹气赶渣枪更换电动葫芦</t>
    </r>
  </si>
  <si>
    <t>*2.1.37</t>
  </si>
  <si>
    <t>行车恢复安装</t>
  </si>
  <si>
    <t>16t</t>
  </si>
  <si>
    <t>*2.1.38</t>
  </si>
  <si>
    <r>
      <rPr>
        <sz val="10"/>
        <rFont val="Times New Roman"/>
        <charset val="134"/>
      </rPr>
      <t>3t</t>
    </r>
    <r>
      <rPr>
        <sz val="10"/>
        <rFont val="宋体"/>
        <charset val="134"/>
      </rPr>
      <t>起重机检修电动葫芦</t>
    </r>
  </si>
  <si>
    <r>
      <rPr>
        <sz val="10"/>
        <rFont val="宋体"/>
        <charset val="134"/>
      </rPr>
      <t>材料及安装</t>
    </r>
  </si>
  <si>
    <t>2.2.1</t>
  </si>
  <si>
    <t>高铝砖、硅碳砖‌、镁碳砖；1550℃</t>
  </si>
  <si>
    <t>2.2.2</t>
  </si>
  <si>
    <t>不锈钢液压中间配管</t>
  </si>
  <si>
    <t>管道、管件及材料性阀门供货及安装、管支架及管夹制作安装、水冲洗及水试漏，管道酸洗、碱洗、预膜、脱脂、水冲洗、钝化、管道吹扫，系统油冲洗，油压试验，冲洗用油（分包方供货）、滤芯及酸洗、冲洗用的临时设施安装及拆除、接地、标识等全部工作内容</t>
  </si>
  <si>
    <r>
      <rPr>
        <sz val="10"/>
        <rFont val="宋体"/>
        <charset val="134"/>
      </rPr>
      <t>燃气设施</t>
    </r>
  </si>
  <si>
    <t>*3.1</t>
  </si>
  <si>
    <r>
      <rPr>
        <sz val="10"/>
        <rFont val="宋体"/>
        <charset val="134"/>
      </rPr>
      <t>设备安装</t>
    </r>
  </si>
  <si>
    <t>*3.1.1</t>
  </si>
  <si>
    <t>氮气球阀</t>
  </si>
  <si>
    <t>DN125</t>
  </si>
  <si>
    <t>接货、开箱清点、场内运输、外观检查、设备清洗、吊装、拼装、联结、安装就位、调整、固定、防雷接地、灌浆、电机检查接线、接地连接及设备本体的单体调试、配合机组联动试车和热负荷试车，以及配合业主办理特种设备、压力管道等报审及使用许可证等全部工作内容</t>
  </si>
  <si>
    <t>*3.1.2</t>
  </si>
  <si>
    <t>DN100</t>
  </si>
  <si>
    <t>*3.1.3</t>
  </si>
  <si>
    <t>DN50</t>
  </si>
  <si>
    <t>*3.1.4</t>
  </si>
  <si>
    <t>氧气专用截止阀</t>
  </si>
  <si>
    <t>DN80</t>
  </si>
  <si>
    <r>
      <rPr>
        <sz val="10"/>
        <rFont val="宋体"/>
        <charset val="134"/>
      </rPr>
      <t>台</t>
    </r>
  </si>
  <si>
    <t>*3.1.5</t>
  </si>
  <si>
    <t>DN25</t>
  </si>
  <si>
    <t>*3.1.6</t>
  </si>
  <si>
    <r>
      <rPr>
        <sz val="10"/>
        <rFont val="宋体"/>
        <charset val="0"/>
      </rPr>
      <t>氧气用点阀箱</t>
    </r>
  </si>
  <si>
    <t>*3.1.7</t>
  </si>
  <si>
    <r>
      <rPr>
        <sz val="10"/>
        <rFont val="宋体"/>
        <charset val="134"/>
      </rPr>
      <t>手提式干粉灭火器</t>
    </r>
  </si>
  <si>
    <r>
      <rPr>
        <sz val="10"/>
        <rFont val="宋体"/>
        <charset val="134"/>
      </rPr>
      <t>具</t>
    </r>
  </si>
  <si>
    <t>*3.1.8</t>
  </si>
  <si>
    <r>
      <rPr>
        <sz val="10"/>
        <rFont val="宋体"/>
        <charset val="134"/>
      </rPr>
      <t>手提式二氧化碳灭火器</t>
    </r>
  </si>
  <si>
    <t>*3.1.9</t>
  </si>
  <si>
    <r>
      <rPr>
        <sz val="10"/>
        <rFont val="宋体"/>
        <charset val="134"/>
      </rPr>
      <t>灭火器箱</t>
    </r>
  </si>
  <si>
    <t>3.2.1</t>
  </si>
  <si>
    <t>无缝钢管</t>
  </si>
  <si>
    <r>
      <rPr>
        <sz val="10"/>
        <rFont val="宋体"/>
        <charset val="134"/>
      </rPr>
      <t>各种规格、各种型号、各种材质</t>
    </r>
  </si>
  <si>
    <r>
      <rPr>
        <sz val="10"/>
        <rFont val="宋体"/>
        <charset val="134"/>
      </rPr>
      <t>吨</t>
    </r>
  </si>
  <si>
    <t>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除锈、刷油、防腐、标识等全部工作内容</t>
  </si>
  <si>
    <t>3.2.2</t>
  </si>
  <si>
    <r>
      <rPr>
        <sz val="10"/>
        <rFont val="宋体"/>
        <charset val="0"/>
      </rPr>
      <t>不锈钢钢管</t>
    </r>
  </si>
  <si>
    <t>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刷油、防腐、标识等全部工作内容</t>
  </si>
  <si>
    <r>
      <rPr>
        <sz val="10"/>
        <rFont val="宋体"/>
        <charset val="134"/>
      </rPr>
      <t>热力设施</t>
    </r>
  </si>
  <si>
    <t>*4.1</t>
  </si>
  <si>
    <t>*4.1.1</t>
  </si>
  <si>
    <r>
      <rPr>
        <sz val="10"/>
        <rFont val="宋体"/>
        <charset val="134"/>
      </rPr>
      <t>法兰连接手动闸阀</t>
    </r>
  </si>
  <si>
    <t>DN150</t>
  </si>
  <si>
    <t>*4.1.2</t>
  </si>
  <si>
    <r>
      <rPr>
        <sz val="10"/>
        <rFont val="宋体"/>
        <charset val="134"/>
      </rPr>
      <t>法兰连接截止阀</t>
    </r>
  </si>
  <si>
    <t>DN65</t>
  </si>
  <si>
    <t>*4.1.3</t>
  </si>
  <si>
    <t>DN40</t>
  </si>
  <si>
    <t>*4.1.4</t>
  </si>
  <si>
    <t>*4.1.5</t>
  </si>
  <si>
    <t>DN15</t>
  </si>
  <si>
    <t>4.2.1</t>
  </si>
  <si>
    <r>
      <rPr>
        <sz val="10"/>
        <rFont val="宋体"/>
        <charset val="134"/>
      </rPr>
      <t>给排水设施</t>
    </r>
  </si>
  <si>
    <t>5.1.1</t>
  </si>
  <si>
    <r>
      <rPr>
        <sz val="10"/>
        <rFont val="宋体"/>
        <charset val="134"/>
      </rPr>
      <t>焊接钢管</t>
    </r>
  </si>
  <si>
    <t>5.1.2</t>
  </si>
  <si>
    <r>
      <rPr>
        <sz val="10"/>
        <rFont val="宋体"/>
        <charset val="134"/>
      </rPr>
      <t>镀锌钢管</t>
    </r>
  </si>
  <si>
    <t>5.1.3</t>
  </si>
  <si>
    <r>
      <rPr>
        <sz val="10"/>
        <rFont val="宋体"/>
        <charset val="134"/>
      </rPr>
      <t>焊接钢管（埋地）</t>
    </r>
  </si>
  <si>
    <t>土石方挖运填（含特殊爆破）、降水、排水、垫层、基础；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除锈、刷油、防腐、标识等全部工作内容</t>
  </si>
  <si>
    <t>5.1.4</t>
  </si>
  <si>
    <r>
      <rPr>
        <sz val="10"/>
        <rFont val="宋体"/>
        <charset val="134"/>
      </rPr>
      <t>高密度聚乙烯（</t>
    </r>
    <r>
      <rPr>
        <sz val="10"/>
        <rFont val="Times New Roman"/>
        <charset val="134"/>
      </rPr>
      <t>HDPE</t>
    </r>
    <r>
      <rPr>
        <sz val="10"/>
        <rFont val="宋体"/>
        <charset val="134"/>
      </rPr>
      <t>）缠绕埋地管</t>
    </r>
  </si>
  <si>
    <t>d800</t>
  </si>
  <si>
    <r>
      <rPr>
        <sz val="10"/>
        <rFont val="宋体"/>
        <charset val="134"/>
      </rPr>
      <t>米</t>
    </r>
  </si>
  <si>
    <t>挖填运方、排水、垫层、基础、管道及管道附件供货、敷设连接、检验试验及完成图纸、规范及完整工序要求的全部工作内容</t>
  </si>
  <si>
    <t>5.1.5</t>
  </si>
  <si>
    <t>高密度聚乙烯（HDPE）缠绕埋地管</t>
  </si>
  <si>
    <t>d300</t>
  </si>
  <si>
    <t>5.1.6</t>
  </si>
  <si>
    <t>d400</t>
  </si>
  <si>
    <t>5.1.7</t>
  </si>
  <si>
    <r>
      <rPr>
        <sz val="10"/>
        <rFont val="宋体"/>
        <charset val="134"/>
      </rPr>
      <t>室内消火栓</t>
    </r>
    <r>
      <rPr>
        <sz val="10"/>
        <rFont val="Times New Roman"/>
        <charset val="134"/>
      </rPr>
      <t xml:space="preserve">DN65  </t>
    </r>
    <r>
      <rPr>
        <sz val="10"/>
        <rFont val="宋体"/>
        <charset val="134"/>
      </rPr>
      <t>含水带及水枪</t>
    </r>
  </si>
  <si>
    <t>供货、安装及验收等满足施工图纸及规范要求的全部工作内容</t>
  </si>
  <si>
    <t>5.1.8</t>
  </si>
  <si>
    <r>
      <rPr>
        <sz val="10"/>
        <rFont val="宋体"/>
        <charset val="134"/>
      </rPr>
      <t>钢混检查井</t>
    </r>
  </si>
  <si>
    <r>
      <rPr>
        <sz val="10"/>
        <rFont val="Times New Roman"/>
        <charset val="134"/>
      </rPr>
      <t>Ø1200</t>
    </r>
    <r>
      <rPr>
        <sz val="10"/>
        <rFont val="宋体"/>
        <charset val="134"/>
      </rPr>
      <t>，参</t>
    </r>
    <r>
      <rPr>
        <sz val="10"/>
        <rFont val="Times New Roman"/>
        <charset val="134"/>
      </rPr>
      <t>02S515</t>
    </r>
  </si>
  <si>
    <r>
      <rPr>
        <sz val="10"/>
        <rFont val="宋体"/>
        <charset val="134"/>
      </rPr>
      <t>座</t>
    </r>
  </si>
  <si>
    <t>降水、排水、土石方挖运填（含特殊爆破）、材料运输、砂浆制作、运输、铺设垫层 、钢筋、混凝土制作、运输、浇筑、振捣、养护、砌砖、勾缝、井池底、壁抹灰、抹防潮层、回填、井盖等全部工作内容</t>
  </si>
  <si>
    <t>5.1.9</t>
  </si>
  <si>
    <r>
      <rPr>
        <sz val="10"/>
        <rFont val="Times New Roman"/>
        <charset val="134"/>
      </rPr>
      <t>HDPE</t>
    </r>
    <r>
      <rPr>
        <sz val="10"/>
        <rFont val="宋体"/>
        <charset val="134"/>
      </rPr>
      <t>检查井</t>
    </r>
  </si>
  <si>
    <r>
      <rPr>
        <sz val="10"/>
        <rFont val="Times New Roman"/>
        <charset val="134"/>
      </rPr>
      <t>Ø1000</t>
    </r>
    <r>
      <rPr>
        <sz val="10"/>
        <rFont val="宋体"/>
        <charset val="134"/>
      </rPr>
      <t>，参</t>
    </r>
    <r>
      <rPr>
        <sz val="10"/>
        <rFont val="Times New Roman"/>
        <charset val="134"/>
      </rPr>
      <t>08SS523</t>
    </r>
  </si>
  <si>
    <t>5.1.10</t>
  </si>
  <si>
    <r>
      <rPr>
        <sz val="10"/>
        <rFont val="宋体"/>
        <charset val="134"/>
      </rPr>
      <t>砖砌雨水口</t>
    </r>
  </si>
  <si>
    <r>
      <rPr>
        <sz val="10"/>
        <rFont val="宋体"/>
        <charset val="134"/>
      </rPr>
      <t>参</t>
    </r>
    <r>
      <rPr>
        <sz val="10"/>
        <rFont val="Times New Roman"/>
        <charset val="134"/>
      </rPr>
      <t>05S518</t>
    </r>
  </si>
  <si>
    <t>降水、排水、土石方挖运填（含特殊爆破）、材料运输、砂浆制作、运输、铺设垫层 、钢筋、混凝土制作、运输、浇筑、振捣、养护、砌砖、勾缝、池底、壁抹灰、抹防潮层、回填、雨水箅子等全部工作内容</t>
  </si>
  <si>
    <r>
      <rPr>
        <sz val="10"/>
        <rFont val="宋体"/>
        <charset val="134"/>
      </rPr>
      <t>通风设施</t>
    </r>
  </si>
  <si>
    <t>*6.1</t>
  </si>
  <si>
    <t>*6.1.1</t>
  </si>
  <si>
    <t>水冷柜式空调机</t>
  </si>
  <si>
    <t>接货、开箱清点、场内运输、外观检查、设备清洗、吊装、拼装、联结、基础型钢底座的供货及安装、就位、调整、固定、防雷接地、灌浆、电机检查接线、接地连接及设备本体的单体调试、配合机组联动试车和热负荷试车，以及配合业主办理特种设备、压力管道等报审及使用许可证等全部工作内容</t>
  </si>
  <si>
    <t>*6.1.2</t>
  </si>
  <si>
    <t>风冷柜式空调机</t>
  </si>
  <si>
    <t>*6.1.3</t>
  </si>
  <si>
    <t>轴流通风机</t>
  </si>
  <si>
    <t>*6.1.4</t>
  </si>
  <si>
    <t>工业除湿机</t>
  </si>
  <si>
    <t>*6.1.5</t>
  </si>
  <si>
    <t>屋顶风机</t>
  </si>
  <si>
    <t>*6.1.6</t>
  </si>
  <si>
    <r>
      <rPr>
        <sz val="10"/>
        <rFont val="宋体"/>
        <charset val="134"/>
      </rPr>
      <t>电动耐磨尘气蝶阀</t>
    </r>
  </si>
  <si>
    <t>DN1800</t>
  </si>
  <si>
    <t>*6.1.7</t>
  </si>
  <si>
    <t>DN1500</t>
  </si>
  <si>
    <t>*6.1.8</t>
  </si>
  <si>
    <t>DN900</t>
  </si>
  <si>
    <t>*6.1.9</t>
  </si>
  <si>
    <r>
      <rPr>
        <sz val="10"/>
        <rFont val="宋体"/>
        <charset val="134"/>
      </rPr>
      <t>离心通风机及电机</t>
    </r>
  </si>
  <si>
    <r>
      <rPr>
        <sz val="10"/>
        <rFont val="Times New Roman"/>
        <charset val="134"/>
      </rPr>
      <t>70</t>
    </r>
    <r>
      <rPr>
        <sz val="10"/>
        <rFont val="宋体"/>
        <charset val="134"/>
      </rPr>
      <t>万</t>
    </r>
    <r>
      <rPr>
        <sz val="10"/>
        <rFont val="Times New Roman"/>
        <charset val="134"/>
      </rPr>
      <t>m3/h 5500Pa</t>
    </r>
    <r>
      <rPr>
        <sz val="10"/>
        <rFont val="宋体"/>
        <charset val="134"/>
      </rPr>
      <t>；电机</t>
    </r>
    <r>
      <rPr>
        <sz val="10"/>
        <rFont val="Times New Roman"/>
        <charset val="134"/>
      </rPr>
      <t>1600kW 10kV</t>
    </r>
  </si>
  <si>
    <t>*6.1.10</t>
  </si>
  <si>
    <r>
      <rPr>
        <sz val="10"/>
        <rFont val="宋体"/>
        <charset val="134"/>
      </rPr>
      <t>非金属补偿器</t>
    </r>
  </si>
  <si>
    <t>3281x820</t>
  </si>
  <si>
    <t>*6.1.11</t>
  </si>
  <si>
    <t>1980x2704</t>
  </si>
  <si>
    <t>6.2.1</t>
  </si>
  <si>
    <t>风管</t>
  </si>
  <si>
    <r>
      <rPr>
        <sz val="10"/>
        <rFont val="宋体"/>
        <charset val="134"/>
      </rPr>
      <t>各种规格、各种型号、</t>
    </r>
    <r>
      <rPr>
        <sz val="10"/>
        <rFont val="Times New Roman"/>
        <charset val="134"/>
      </rPr>
      <t>Q235</t>
    </r>
  </si>
  <si>
    <t>管道、管件及附件（含各类材料类阀门、法兰、支吊架、管托、管箍、加固筋、紧固件）供货、敷设、套管制作安装、检验、接地、隔热、试验、阀门研磨、试压、酸洗、脱脂、钝化、探伤、吹扫、冲（清）洗、除锈、刷油、防腐、标识等全部工作内容</t>
  </si>
  <si>
    <r>
      <rPr>
        <sz val="10"/>
        <rFont val="宋体"/>
        <charset val="134"/>
      </rPr>
      <t>电气设施</t>
    </r>
  </si>
  <si>
    <t>*7.1</t>
  </si>
  <si>
    <t>*7.1.1</t>
  </si>
  <si>
    <r>
      <rPr>
        <sz val="10"/>
        <rFont val="宋体"/>
        <charset val="134"/>
      </rPr>
      <t>配电柜</t>
    </r>
  </si>
  <si>
    <t>接货、开箱检查，场内运输、外观检查、基础型钢供货及制作安装、本体安装、干燥、端子箱(汇控箱)安装、刷(喷)油漆、接地连接、防火堵洞、试验和调试等全部工作内容</t>
  </si>
  <si>
    <t>*7.1.2</t>
  </si>
  <si>
    <r>
      <rPr>
        <sz val="10"/>
        <rFont val="宋体"/>
        <charset val="134"/>
      </rPr>
      <t>电气柜</t>
    </r>
  </si>
  <si>
    <t>*7.1.3</t>
  </si>
  <si>
    <r>
      <rPr>
        <sz val="10"/>
        <rFont val="宋体"/>
        <charset val="134"/>
      </rPr>
      <t>动力配电箱</t>
    </r>
  </si>
  <si>
    <t>*7.1.4</t>
  </si>
  <si>
    <r>
      <rPr>
        <sz val="10"/>
        <rFont val="宋体"/>
        <charset val="134"/>
      </rPr>
      <t>操作箱</t>
    </r>
  </si>
  <si>
    <t>*7.1.5</t>
  </si>
  <si>
    <r>
      <rPr>
        <sz val="10"/>
        <rFont val="宋体"/>
        <charset val="134"/>
      </rPr>
      <t>操作台</t>
    </r>
  </si>
  <si>
    <t>*7.1.6</t>
  </si>
  <si>
    <r>
      <rPr>
        <sz val="10"/>
        <rFont val="宋体"/>
        <charset val="134"/>
      </rPr>
      <t>开关盒</t>
    </r>
  </si>
  <si>
    <t>*7.1.7</t>
  </si>
  <si>
    <r>
      <rPr>
        <sz val="10"/>
        <rFont val="宋体"/>
        <charset val="134"/>
      </rPr>
      <t>现场检修箱</t>
    </r>
  </si>
  <si>
    <t>*7.1.8</t>
  </si>
  <si>
    <r>
      <rPr>
        <sz val="10"/>
        <rFont val="宋体"/>
        <charset val="134"/>
      </rPr>
      <t>端子箱</t>
    </r>
  </si>
  <si>
    <t>*7.1.9</t>
  </si>
  <si>
    <r>
      <rPr>
        <sz val="10"/>
        <rFont val="宋体"/>
        <charset val="134"/>
      </rPr>
      <t>照明配电箱</t>
    </r>
  </si>
  <si>
    <t>*7.1.10</t>
  </si>
  <si>
    <r>
      <rPr>
        <sz val="10"/>
        <rFont val="宋体"/>
        <charset val="134"/>
      </rPr>
      <t>接地箱</t>
    </r>
  </si>
  <si>
    <t>*7.1.11</t>
  </si>
  <si>
    <r>
      <rPr>
        <sz val="10"/>
        <rFont val="Times New Roman"/>
        <charset val="134"/>
      </rPr>
      <t>PROFINE</t>
    </r>
    <r>
      <rPr>
        <sz val="10"/>
        <rFont val="宋体"/>
        <charset val="134"/>
      </rPr>
      <t>网络组件</t>
    </r>
  </si>
  <si>
    <t>*7.1.12</t>
  </si>
  <si>
    <r>
      <rPr>
        <sz val="10"/>
        <rFont val="宋体"/>
        <charset val="134"/>
      </rPr>
      <t>阀门控制箱</t>
    </r>
  </si>
  <si>
    <t>*7.1.13</t>
  </si>
  <si>
    <r>
      <rPr>
        <sz val="10"/>
        <rFont val="宋体"/>
        <charset val="134"/>
      </rPr>
      <t>钢基铜导体滑触线</t>
    </r>
  </si>
  <si>
    <r>
      <rPr>
        <sz val="10"/>
        <rFont val="Times New Roman"/>
        <charset val="134"/>
      </rPr>
      <t xml:space="preserve">450A </t>
    </r>
    <r>
      <rPr>
        <sz val="10"/>
        <rFont val="宋体"/>
        <charset val="134"/>
      </rPr>
      <t>单相</t>
    </r>
  </si>
  <si>
    <t>米</t>
  </si>
  <si>
    <t>滑触线及拉紧装置、支持器（绝缘子）、集电气、信号灯、补偿母系等附件、安装支架的供货及制安、防腐、接地等全部工作内容</t>
  </si>
  <si>
    <t>7.2.1</t>
  </si>
  <si>
    <r>
      <rPr>
        <sz val="10"/>
        <rFont val="宋体"/>
        <charset val="134"/>
      </rPr>
      <t>移动耐高温动力电缆</t>
    </r>
    <r>
      <rPr>
        <sz val="10"/>
        <rFont val="Times New Roman"/>
        <charset val="134"/>
      </rPr>
      <t xml:space="preserve"> YGGR-450/750</t>
    </r>
  </si>
  <si>
    <t>4X2.5</t>
  </si>
  <si>
    <r>
      <rPr>
        <sz val="10"/>
        <rFont val="宋体"/>
        <charset val="134"/>
        <scheme val="minor"/>
      </rPr>
      <t>揭(盖)盖板、电缆</t>
    </r>
    <r>
      <rPr>
        <sz val="10"/>
        <color rgb="FFFF0000"/>
        <rFont val="宋体"/>
        <charset val="134"/>
        <scheme val="minor"/>
      </rPr>
      <t>（发包人供货）</t>
    </r>
    <r>
      <rPr>
        <sz val="10"/>
        <rFont val="宋体"/>
        <charset val="134"/>
        <scheme val="minor"/>
      </rPr>
      <t>敷设，线鼻子、防火堵洞、电缆防护、电缆防火隔板、电缆防火涂料、防火堵料供货安装等全部工作内容。</t>
    </r>
  </si>
  <si>
    <t>7.2.2</t>
  </si>
  <si>
    <t>4X4</t>
  </si>
  <si>
    <t>7.2.3</t>
  </si>
  <si>
    <r>
      <rPr>
        <sz val="10"/>
        <rFont val="宋体"/>
        <charset val="134"/>
      </rPr>
      <t>动力电缆</t>
    </r>
    <r>
      <rPr>
        <sz val="10"/>
        <rFont val="Times New Roman"/>
        <charset val="134"/>
      </rPr>
      <t xml:space="preserve">  ZR-YJV-0.6/1kV</t>
    </r>
  </si>
  <si>
    <t>2X2.5</t>
  </si>
  <si>
    <t>7.2.4</t>
  </si>
  <si>
    <t>3X2.5</t>
  </si>
  <si>
    <t>7.2.5</t>
  </si>
  <si>
    <t>2X4</t>
  </si>
  <si>
    <t>7.2.6</t>
  </si>
  <si>
    <t>2X16</t>
  </si>
  <si>
    <t>7.2.7</t>
  </si>
  <si>
    <t>2X50</t>
  </si>
  <si>
    <t>7.2.8</t>
  </si>
  <si>
    <t>7.2.9</t>
  </si>
  <si>
    <t>3X4</t>
  </si>
  <si>
    <t>7.2.10</t>
  </si>
  <si>
    <t>7.2.11</t>
  </si>
  <si>
    <t>7.2.12</t>
  </si>
  <si>
    <t>5X4</t>
  </si>
  <si>
    <t>7.2.13</t>
  </si>
  <si>
    <t>5X6</t>
  </si>
  <si>
    <t>7.2.14</t>
  </si>
  <si>
    <t>3X10</t>
  </si>
  <si>
    <t>7.2.15</t>
  </si>
  <si>
    <t>3X16</t>
  </si>
  <si>
    <t>7.2.16</t>
  </si>
  <si>
    <t>5X10</t>
  </si>
  <si>
    <t>7.2.17</t>
  </si>
  <si>
    <t>5X16</t>
  </si>
  <si>
    <t>7.2.18</t>
  </si>
  <si>
    <t>3X25+1X16</t>
  </si>
  <si>
    <t>7.2.19</t>
  </si>
  <si>
    <t>3X35+2X16</t>
  </si>
  <si>
    <t>7.2.20</t>
  </si>
  <si>
    <t>3X35+1X16</t>
  </si>
  <si>
    <t>7.2.21</t>
  </si>
  <si>
    <t>3X70+2X35</t>
  </si>
  <si>
    <t>7.2.22</t>
  </si>
  <si>
    <t>3X120+1X70</t>
  </si>
  <si>
    <t>7.2.23</t>
  </si>
  <si>
    <t>3X185+1X95</t>
  </si>
  <si>
    <t>7.2.24</t>
  </si>
  <si>
    <r>
      <rPr>
        <sz val="10"/>
        <rFont val="宋体"/>
        <charset val="134"/>
      </rPr>
      <t>耐高温动力软电缆</t>
    </r>
    <r>
      <rPr>
        <sz val="10"/>
        <rFont val="Times New Roman"/>
        <charset val="134"/>
      </rPr>
      <t xml:space="preserve"> ZR-YGCR-0.6/1kV</t>
    </r>
  </si>
  <si>
    <t>7.2.25</t>
  </si>
  <si>
    <r>
      <rPr>
        <sz val="10"/>
        <rFont val="宋体"/>
        <charset val="134"/>
      </rPr>
      <t>耐高温动力电缆</t>
    </r>
    <r>
      <rPr>
        <sz val="10"/>
        <rFont val="Times New Roman"/>
        <charset val="134"/>
      </rPr>
      <t xml:space="preserve"> ZR-YGG-0.6/1kV</t>
    </r>
  </si>
  <si>
    <t>7.2.26</t>
  </si>
  <si>
    <t>5X2.5</t>
  </si>
  <si>
    <t>7.2.27</t>
  </si>
  <si>
    <t>7.2.28</t>
  </si>
  <si>
    <t>7.2.29</t>
  </si>
  <si>
    <t>7.2.30</t>
  </si>
  <si>
    <r>
      <rPr>
        <sz val="10"/>
        <rFont val="宋体"/>
        <charset val="134"/>
      </rPr>
      <t>变频动力电缆</t>
    </r>
    <r>
      <rPr>
        <sz val="10"/>
        <rFont val="Times New Roman"/>
        <charset val="134"/>
      </rPr>
      <t xml:space="preserve"> ZR-BPGGP</t>
    </r>
  </si>
  <si>
    <t>3X4+3X0.75</t>
  </si>
  <si>
    <t>7.2.31</t>
  </si>
  <si>
    <t>3x95+3x16</t>
  </si>
  <si>
    <t>7.2.32</t>
  </si>
  <si>
    <t>3X50+3X10</t>
  </si>
  <si>
    <t>7.2.33</t>
  </si>
  <si>
    <t>3X16+3X2.5</t>
  </si>
  <si>
    <t>7.2.34</t>
  </si>
  <si>
    <t>3X120+3X25</t>
  </si>
  <si>
    <t>7.2.35</t>
  </si>
  <si>
    <r>
      <rPr>
        <sz val="10"/>
        <rFont val="宋体"/>
        <charset val="134"/>
      </rPr>
      <t>变频动力软电缆</t>
    </r>
    <r>
      <rPr>
        <sz val="10"/>
        <rFont val="Times New Roman"/>
        <charset val="134"/>
      </rPr>
      <t xml:space="preserve"> ZR-BPGGPR</t>
    </r>
  </si>
  <si>
    <t>7.2.36</t>
  </si>
  <si>
    <t>对绞屏蔽电缆 ZR-DJYVPR-500</t>
  </si>
  <si>
    <t>1X2X1.5</t>
  </si>
  <si>
    <t>7.2.37</t>
  </si>
  <si>
    <t>2X2X1.5</t>
  </si>
  <si>
    <t>7.2.38</t>
  </si>
  <si>
    <r>
      <rPr>
        <sz val="10"/>
        <rFont val="宋体"/>
        <charset val="134"/>
      </rPr>
      <t>耐高温屏蔽控制电缆</t>
    </r>
    <r>
      <rPr>
        <sz val="10"/>
        <rFont val="Times New Roman"/>
        <charset val="134"/>
      </rPr>
      <t xml:space="preserve"> ZR-KGGRP-500</t>
    </r>
  </si>
  <si>
    <t>7.2.39</t>
  </si>
  <si>
    <t>4X1.5</t>
  </si>
  <si>
    <t>7.2.40</t>
  </si>
  <si>
    <t>5X1.5</t>
  </si>
  <si>
    <t>7.2.41</t>
  </si>
  <si>
    <t>7X1.5</t>
  </si>
  <si>
    <t>7.2.42</t>
  </si>
  <si>
    <t>10X1.5</t>
  </si>
  <si>
    <t>7.2.43</t>
  </si>
  <si>
    <t>12X1.5</t>
  </si>
  <si>
    <t>7.2.44</t>
  </si>
  <si>
    <t>14X1.5</t>
  </si>
  <si>
    <t>7.2.45</t>
  </si>
  <si>
    <t>16X1.5</t>
  </si>
  <si>
    <t>7.2.46</t>
  </si>
  <si>
    <t>19X1.5</t>
  </si>
  <si>
    <t>7.2.47</t>
  </si>
  <si>
    <t>24X1.5</t>
  </si>
  <si>
    <t>7.2.48</t>
  </si>
  <si>
    <r>
      <rPr>
        <sz val="10"/>
        <rFont val="宋体"/>
        <charset val="134"/>
      </rPr>
      <t>控制电缆</t>
    </r>
    <r>
      <rPr>
        <sz val="10"/>
        <rFont val="Times New Roman"/>
        <charset val="134"/>
      </rPr>
      <t xml:space="preserve"> ZR-KVVR-500</t>
    </r>
  </si>
  <si>
    <t>7.2.49</t>
  </si>
  <si>
    <t>7.2.50</t>
  </si>
  <si>
    <t>7X2.5</t>
  </si>
  <si>
    <t>7.2.51</t>
  </si>
  <si>
    <t>10X2.5</t>
  </si>
  <si>
    <t>7.2.52</t>
  </si>
  <si>
    <t>7.2.53</t>
  </si>
  <si>
    <t>7.2.54</t>
  </si>
  <si>
    <t>7.2.55</t>
  </si>
  <si>
    <t>7.2.56</t>
  </si>
  <si>
    <t>7.2.57</t>
  </si>
  <si>
    <t>7.2.58</t>
  </si>
  <si>
    <t>7.2.59</t>
  </si>
  <si>
    <t>7.2.60</t>
  </si>
  <si>
    <r>
      <rPr>
        <sz val="10"/>
        <rFont val="宋体"/>
        <charset val="134"/>
      </rPr>
      <t>控制电缆</t>
    </r>
    <r>
      <rPr>
        <sz val="10"/>
        <rFont val="Times New Roman"/>
        <charset val="134"/>
      </rPr>
      <t xml:space="preserve"> ZR-KVVRP-500</t>
    </r>
  </si>
  <si>
    <t>7.2.61</t>
  </si>
  <si>
    <t>7.2.62</t>
  </si>
  <si>
    <t>7.2.63</t>
  </si>
  <si>
    <t>7.2.64</t>
  </si>
  <si>
    <t>7.2.65</t>
  </si>
  <si>
    <r>
      <rPr>
        <sz val="10"/>
        <rFont val="宋体"/>
        <charset val="134"/>
      </rPr>
      <t>导线</t>
    </r>
  </si>
  <si>
    <t>BVR-500 6mm2</t>
  </si>
  <si>
    <t>7.2.66</t>
  </si>
  <si>
    <r>
      <rPr>
        <sz val="10"/>
        <rFont val="宋体"/>
        <charset val="134"/>
      </rPr>
      <t>通讯电缆（电缆由总包方供货）</t>
    </r>
  </si>
  <si>
    <t>7.2.67</t>
  </si>
  <si>
    <r>
      <rPr>
        <sz val="10"/>
        <rFont val="宋体"/>
        <charset val="134"/>
      </rPr>
      <t>镀锌电缆桥架</t>
    </r>
  </si>
  <si>
    <t>电缆桥架及其配件供货运输、安装、防雷接地、补刷同材质涂料等全部工作内容</t>
  </si>
  <si>
    <t>7.2.68</t>
  </si>
  <si>
    <r>
      <rPr>
        <sz val="10"/>
        <rFont val="宋体"/>
        <charset val="134"/>
      </rPr>
      <t>桥架钢结构支架</t>
    </r>
  </si>
  <si>
    <t>钢结构除锈、制作、探伤、安装、运输、卸车、拼装、涂漆、接地等全部工作内容</t>
  </si>
  <si>
    <t>7.2.69</t>
  </si>
  <si>
    <t>管道（含管件、材料类阀门、支吊架、管托、管箍、加固筋、紧固件、法兰、垫片等）供货及安装等全部工作内容</t>
  </si>
  <si>
    <t>7.2.70</t>
  </si>
  <si>
    <r>
      <rPr>
        <sz val="10"/>
        <rFont val="Times New Roman"/>
        <charset val="134"/>
      </rPr>
      <t>PVC</t>
    </r>
    <r>
      <rPr>
        <sz val="10"/>
        <rFont val="宋体"/>
        <charset val="134"/>
      </rPr>
      <t>管</t>
    </r>
  </si>
  <si>
    <t>SG25</t>
  </si>
  <si>
    <t>7.2.71</t>
  </si>
  <si>
    <r>
      <rPr>
        <sz val="10"/>
        <rFont val="宋体"/>
        <charset val="134"/>
      </rPr>
      <t>金属软管（含接头）</t>
    </r>
  </si>
  <si>
    <t>DN20</t>
  </si>
  <si>
    <t>材料供货、量尺寸、断管、连接接头、钻眼、攻丝、固定等全部工作内容</t>
  </si>
  <si>
    <t>7.2.72</t>
  </si>
  <si>
    <t>7.2.73</t>
  </si>
  <si>
    <t>DN32</t>
  </si>
  <si>
    <t>7.2.74</t>
  </si>
  <si>
    <t>7.2.75</t>
  </si>
  <si>
    <t>7.2.76</t>
  </si>
  <si>
    <t>7.2.77</t>
  </si>
  <si>
    <t>主厂房照明灯具</t>
  </si>
  <si>
    <t>400W</t>
  </si>
  <si>
    <t>灯具及附件供货，灯具、灯杆、开关、整流器（断路器、触发器）安装调试等全部工作内容</t>
  </si>
  <si>
    <t>7.2.78</t>
  </si>
  <si>
    <t>投光灯</t>
  </si>
  <si>
    <t>70W</t>
  </si>
  <si>
    <t>7.2.79</t>
  </si>
  <si>
    <t>耐高温投光灯</t>
  </si>
  <si>
    <t>100W</t>
  </si>
  <si>
    <r>
      <rPr>
        <sz val="10"/>
        <rFont val="宋体"/>
        <charset val="134"/>
      </rPr>
      <t>电力设施</t>
    </r>
  </si>
  <si>
    <t>*8.1</t>
  </si>
  <si>
    <t>*8.1.1</t>
  </si>
  <si>
    <r>
      <rPr>
        <sz val="10"/>
        <rFont val="宋体"/>
        <charset val="134"/>
      </rPr>
      <t>除尘电机新增高压变频器</t>
    </r>
  </si>
  <si>
    <r>
      <rPr>
        <sz val="10"/>
        <rFont val="宋体"/>
        <charset val="134"/>
      </rPr>
      <t>变频电机</t>
    </r>
    <r>
      <rPr>
        <sz val="10"/>
        <rFont val="Times New Roman"/>
        <charset val="134"/>
      </rPr>
      <t xml:space="preserve">:1600kW 
</t>
    </r>
    <r>
      <rPr>
        <sz val="10"/>
        <rFont val="宋体"/>
        <charset val="134"/>
      </rPr>
      <t>高压变频器，手动旁路柜，含空水冷装置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台</t>
    </r>
  </si>
  <si>
    <t>8.2.1</t>
  </si>
  <si>
    <r>
      <rPr>
        <sz val="10"/>
        <rFont val="Times New Roman"/>
        <charset val="134"/>
      </rPr>
      <t>10kV</t>
    </r>
    <r>
      <rPr>
        <sz val="10"/>
        <rFont val="宋体"/>
        <charset val="134"/>
      </rPr>
      <t>电缆</t>
    </r>
  </si>
  <si>
    <t>ZR-YJV22-8.7/15 3X70</t>
  </si>
  <si>
    <t>揭(盖)盖板、电缆（发包人供货）敷设，线鼻子、防火堵洞、电缆防护、电缆防火隔板、电缆防火涂料、防火堵料供货安装等全部工作内容。</t>
  </si>
  <si>
    <t>8.2.2</t>
  </si>
  <si>
    <r>
      <rPr>
        <sz val="10"/>
        <rFont val="宋体"/>
        <charset val="134"/>
      </rPr>
      <t>控制电缆</t>
    </r>
  </si>
  <si>
    <t>ZR-KVVRP22-500    1(4X4)</t>
  </si>
  <si>
    <t>8.2.3</t>
  </si>
  <si>
    <t>ZR-KVVRP22-500    1(10X1.5)</t>
  </si>
  <si>
    <t>8.2.4</t>
  </si>
  <si>
    <t>ZR-KVVRP22-500    1(14X1.5)</t>
  </si>
  <si>
    <t>8.2.5</t>
  </si>
  <si>
    <r>
      <rPr>
        <sz val="10"/>
        <rFont val="Times New Roman"/>
        <charset val="134"/>
      </rPr>
      <t>10kV</t>
    </r>
    <r>
      <rPr>
        <sz val="10"/>
        <rFont val="宋体"/>
        <charset val="134"/>
      </rPr>
      <t>电缆头</t>
    </r>
  </si>
  <si>
    <t>准备工作锯剥电缆、套绝缘、屏蔽、装接线盒、密封处理、防腐保护、整理固定、耐压试验、现场清理等全部工作内容</t>
  </si>
  <si>
    <t>8.2.6</t>
  </si>
  <si>
    <t>镀锌电缆桥架</t>
  </si>
  <si>
    <r>
      <rPr>
        <sz val="10"/>
        <rFont val="宋体"/>
        <charset val="134"/>
      </rPr>
      <t>仪表设施</t>
    </r>
  </si>
  <si>
    <t>*9.1</t>
  </si>
  <si>
    <t>*9.1.1</t>
  </si>
  <si>
    <r>
      <rPr>
        <sz val="10"/>
        <rFont val="宋体"/>
        <charset val="134"/>
      </rPr>
      <t>铁水测温仪</t>
    </r>
  </si>
  <si>
    <t>接货、开箱清点、场内运输、外观检查、基础型钢供货及制作安装、仪表单体调试、安装、校验（含首检）、校接线、仪表接头制作安装、测温取压取源部件制作安装、仪表管路连接件的供货及安装、仪表管路及阀门安装、仪表回路模拟试验、接地、配合单机试运转、配合工艺调试、现场检定等全部工作内容</t>
  </si>
  <si>
    <t>*9.1.2</t>
  </si>
  <si>
    <r>
      <rPr>
        <sz val="10"/>
        <rFont val="宋体"/>
        <charset val="134"/>
      </rPr>
      <t>电子称</t>
    </r>
  </si>
  <si>
    <t>*9.1.3</t>
  </si>
  <si>
    <r>
      <rPr>
        <sz val="10"/>
        <rFont val="宋体"/>
        <charset val="134"/>
      </rPr>
      <t>钢丝绳张力计</t>
    </r>
  </si>
  <si>
    <t>*9.1.4</t>
  </si>
  <si>
    <r>
      <rPr>
        <sz val="10"/>
        <rFont val="宋体"/>
        <charset val="134"/>
      </rPr>
      <t>热电阻</t>
    </r>
  </si>
  <si>
    <r>
      <rPr>
        <sz val="10"/>
        <rFont val="宋体"/>
        <charset val="134"/>
      </rPr>
      <t>支</t>
    </r>
  </si>
  <si>
    <t>*9.1.5</t>
  </si>
  <si>
    <r>
      <rPr>
        <sz val="10"/>
        <rFont val="宋体"/>
        <charset val="134"/>
      </rPr>
      <t>一体式流量计</t>
    </r>
  </si>
  <si>
    <t>*9.1.6</t>
  </si>
  <si>
    <r>
      <rPr>
        <sz val="10"/>
        <rFont val="宋体"/>
        <charset val="134"/>
      </rPr>
      <t>压力变送器</t>
    </r>
  </si>
  <si>
    <t>*9.1.7</t>
  </si>
  <si>
    <r>
      <rPr>
        <sz val="10"/>
        <rFont val="宋体"/>
        <charset val="134"/>
      </rPr>
      <t>压力表</t>
    </r>
  </si>
  <si>
    <t>*9.1.8</t>
  </si>
  <si>
    <r>
      <rPr>
        <sz val="10"/>
        <rFont val="宋体"/>
        <charset val="134"/>
      </rPr>
      <t>气动切断阀</t>
    </r>
  </si>
  <si>
    <t>*9.1.9</t>
  </si>
  <si>
    <r>
      <rPr>
        <sz val="10"/>
        <rFont val="宋体"/>
        <charset val="134"/>
      </rPr>
      <t>流量孔板</t>
    </r>
  </si>
  <si>
    <t>*9.1.10</t>
  </si>
  <si>
    <r>
      <rPr>
        <sz val="10"/>
        <rFont val="宋体"/>
        <charset val="134"/>
      </rPr>
      <t>差压变送器</t>
    </r>
  </si>
  <si>
    <t>*9.1.11</t>
  </si>
  <si>
    <r>
      <rPr>
        <sz val="10"/>
        <rFont val="宋体"/>
        <charset val="134"/>
      </rPr>
      <t>电磁流量计</t>
    </r>
  </si>
  <si>
    <t>*9.1.12</t>
  </si>
  <si>
    <r>
      <rPr>
        <sz val="10"/>
        <rFont val="Times New Roman"/>
        <charset val="134"/>
      </rPr>
      <t>PLC</t>
    </r>
    <r>
      <rPr>
        <sz val="10"/>
        <rFont val="宋体"/>
        <charset val="134"/>
      </rPr>
      <t>柜</t>
    </r>
  </si>
  <si>
    <r>
      <rPr>
        <sz val="10"/>
        <rFont val="宋体"/>
        <charset val="134"/>
      </rPr>
      <t>面</t>
    </r>
  </si>
  <si>
    <t>*9.1.13</t>
  </si>
  <si>
    <t>HMI</t>
  </si>
  <si>
    <t>*9.1.14</t>
  </si>
  <si>
    <t>*9.1.15</t>
  </si>
  <si>
    <t>UPS</t>
  </si>
  <si>
    <t>10KVA</t>
  </si>
  <si>
    <t>9.2.1</t>
  </si>
  <si>
    <r>
      <rPr>
        <sz val="10"/>
        <rFont val="宋体"/>
        <charset val="134"/>
      </rPr>
      <t>阻燃对绞总屏蔽计算机软电缆</t>
    </r>
  </si>
  <si>
    <t>ZR-DJYVPR 1x2x1.5</t>
  </si>
  <si>
    <t>9.2.2</t>
  </si>
  <si>
    <t>ZR-DJYVPR 2x2x1.0</t>
  </si>
  <si>
    <t>9.2.3</t>
  </si>
  <si>
    <r>
      <rPr>
        <sz val="10"/>
        <rFont val="宋体"/>
        <charset val="134"/>
      </rPr>
      <t>阻燃控制屏蔽软电缆</t>
    </r>
  </si>
  <si>
    <t>ZR-KVVPR 5X1.0</t>
  </si>
  <si>
    <t>9.2.4</t>
  </si>
  <si>
    <r>
      <rPr>
        <sz val="10"/>
        <rFont val="宋体"/>
        <charset val="134"/>
      </rPr>
      <t>阻燃控制软电缆</t>
    </r>
  </si>
  <si>
    <t>ZR-KVVR 2X1.5</t>
  </si>
  <si>
    <t>9.2.5</t>
  </si>
  <si>
    <t>9.2.6</t>
  </si>
  <si>
    <r>
      <rPr>
        <sz val="10"/>
        <rFont val="Times New Roman"/>
        <charset val="134"/>
      </rPr>
      <t>PROFIBUS</t>
    </r>
    <r>
      <rPr>
        <sz val="10"/>
        <rFont val="宋体"/>
        <charset val="134"/>
      </rPr>
      <t>电缆</t>
    </r>
  </si>
  <si>
    <t>6XV1851-4AU10</t>
  </si>
  <si>
    <t>9.2.7</t>
  </si>
  <si>
    <t>单模光纤（总包方供货）</t>
  </si>
  <si>
    <t>9.2.8</t>
  </si>
  <si>
    <r>
      <rPr>
        <sz val="10"/>
        <rFont val="Times New Roman"/>
        <charset val="134"/>
      </rPr>
      <t>6</t>
    </r>
    <r>
      <rPr>
        <sz val="10"/>
        <rFont val="宋体"/>
        <charset val="134"/>
      </rPr>
      <t>类屏蔽网线（总包方供货）</t>
    </r>
  </si>
  <si>
    <t>9.2.9</t>
  </si>
  <si>
    <r>
      <rPr>
        <sz val="10"/>
        <rFont val="Times New Roman"/>
        <charset val="134"/>
      </rPr>
      <t>PN</t>
    </r>
    <r>
      <rPr>
        <sz val="10"/>
        <rFont val="宋体"/>
        <charset val="134"/>
      </rPr>
      <t>网线（总包方供货）</t>
    </r>
  </si>
  <si>
    <t>9.2.10</t>
  </si>
  <si>
    <r>
      <rPr>
        <sz val="10"/>
        <rFont val="Times New Roman"/>
        <charset val="134"/>
      </rPr>
      <t>DP</t>
    </r>
    <r>
      <rPr>
        <sz val="10"/>
        <rFont val="宋体"/>
        <charset val="134"/>
      </rPr>
      <t>线路（由总包方供货）</t>
    </r>
  </si>
  <si>
    <t>9.2.11</t>
  </si>
  <si>
    <t>9.2.12</t>
  </si>
  <si>
    <r>
      <rPr>
        <sz val="10"/>
        <rFont val="宋体"/>
        <charset val="134"/>
      </rPr>
      <t>无缝钢管</t>
    </r>
  </si>
  <si>
    <t>9.2.13</t>
  </si>
  <si>
    <r>
      <rPr>
        <sz val="10"/>
        <rFont val="宋体"/>
        <charset val="134"/>
      </rPr>
      <t>紫铜管</t>
    </r>
  </si>
  <si>
    <r>
      <rPr>
        <sz val="10"/>
        <rFont val="Times New Roman"/>
        <charset val="161"/>
      </rPr>
      <t>φ</t>
    </r>
    <r>
      <rPr>
        <sz val="10"/>
        <rFont val="Times New Roman"/>
        <charset val="134"/>
      </rPr>
      <t>8x1</t>
    </r>
  </si>
  <si>
    <t>9.2.14</t>
  </si>
  <si>
    <t>9.2.15</t>
  </si>
  <si>
    <t>钢结构</t>
  </si>
  <si>
    <r>
      <rPr>
        <sz val="10"/>
        <rFont val="宋体"/>
        <charset val="134"/>
      </rPr>
      <t>计算机系统</t>
    </r>
  </si>
  <si>
    <r>
      <rPr>
        <sz val="10"/>
        <rFont val="宋体"/>
        <charset val="134"/>
      </rPr>
      <t>二级计算机系统</t>
    </r>
  </si>
  <si>
    <t>*10.1.1</t>
  </si>
  <si>
    <t>*10.1.2</t>
  </si>
  <si>
    <r>
      <rPr>
        <sz val="10"/>
        <rFont val="宋体"/>
        <charset val="134"/>
      </rPr>
      <t>服务器</t>
    </r>
  </si>
  <si>
    <t>*10.1.3</t>
  </si>
  <si>
    <r>
      <rPr>
        <sz val="10"/>
        <rFont val="宋体"/>
        <charset val="134"/>
      </rPr>
      <t>工作站</t>
    </r>
  </si>
  <si>
    <t>*10.1.4</t>
  </si>
  <si>
    <r>
      <rPr>
        <sz val="10"/>
        <rFont val="宋体"/>
        <charset val="134"/>
      </rPr>
      <t>操作终端</t>
    </r>
  </si>
  <si>
    <t>台式机</t>
  </si>
  <si>
    <t>*10.1.5</t>
  </si>
  <si>
    <r>
      <rPr>
        <sz val="10"/>
        <rFont val="宋体"/>
        <charset val="134"/>
      </rPr>
      <t>服务器机柜</t>
    </r>
  </si>
  <si>
    <t>42U</t>
  </si>
  <si>
    <t>*10.1.6</t>
  </si>
  <si>
    <r>
      <rPr>
        <sz val="10"/>
        <rFont val="宋体"/>
        <charset val="134"/>
      </rPr>
      <t>交换机</t>
    </r>
  </si>
  <si>
    <t>*10.1.7</t>
  </si>
  <si>
    <t>*10.1.8</t>
  </si>
  <si>
    <t>*10.1.9</t>
  </si>
  <si>
    <r>
      <rPr>
        <sz val="10"/>
        <rFont val="宋体"/>
        <charset val="134"/>
      </rPr>
      <t>光纤配线架</t>
    </r>
  </si>
  <si>
    <t>机架式</t>
  </si>
  <si>
    <t>*10.1.10</t>
  </si>
  <si>
    <t>导轨式</t>
  </si>
  <si>
    <t>*10.1.11</t>
  </si>
  <si>
    <r>
      <rPr>
        <sz val="10"/>
        <rFont val="宋体"/>
        <charset val="134"/>
      </rPr>
      <t>辅材</t>
    </r>
  </si>
  <si>
    <r>
      <rPr>
        <sz val="10"/>
        <rFont val="宋体"/>
        <charset val="134"/>
      </rPr>
      <t>网线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米</t>
    </r>
    <r>
      <rPr>
        <sz val="10"/>
        <rFont val="Times New Roman"/>
        <charset val="134"/>
      </rPr>
      <t>*10</t>
    </r>
    <r>
      <rPr>
        <sz val="10"/>
        <rFont val="宋体"/>
        <charset val="134"/>
      </rPr>
      <t>根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水晶头</t>
    </r>
    <r>
      <rPr>
        <sz val="10"/>
        <rFont val="Times New Roman"/>
        <charset val="134"/>
      </rPr>
      <t>50</t>
    </r>
    <r>
      <rPr>
        <sz val="10"/>
        <rFont val="宋体"/>
        <charset val="134"/>
      </rPr>
      <t>个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盒</t>
    </r>
    <r>
      <rPr>
        <sz val="10"/>
        <rFont val="Times New Roman"/>
        <charset val="134"/>
      </rPr>
      <t>*1</t>
    </r>
  </si>
  <si>
    <t>10.2.1</t>
  </si>
  <si>
    <t>G25</t>
  </si>
  <si>
    <t>10.2.2</t>
  </si>
  <si>
    <r>
      <rPr>
        <sz val="10"/>
        <rFont val="Times New Roman"/>
        <charset val="134"/>
      </rPr>
      <t>PVC</t>
    </r>
    <r>
      <rPr>
        <sz val="10"/>
        <rFont val="宋体"/>
        <charset val="134"/>
      </rPr>
      <t>线槽</t>
    </r>
  </si>
  <si>
    <t>20X35</t>
  </si>
  <si>
    <t>10.2.3</t>
  </si>
  <si>
    <r>
      <rPr>
        <sz val="10"/>
        <rFont val="宋体"/>
        <charset val="134"/>
      </rPr>
      <t>动力电缆</t>
    </r>
  </si>
  <si>
    <t>ZR-YJV 3X4</t>
  </si>
  <si>
    <t>10.2.4</t>
  </si>
  <si>
    <t>网线（总包方供货）</t>
  </si>
  <si>
    <t>屏蔽双绞线</t>
  </si>
  <si>
    <t>10.2.5</t>
  </si>
  <si>
    <t>光纤（总包方供货）</t>
  </si>
  <si>
    <r>
      <rPr>
        <sz val="10"/>
        <rFont val="Times New Roman"/>
        <charset val="134"/>
      </rPr>
      <t>16</t>
    </r>
    <r>
      <rPr>
        <sz val="10"/>
        <rFont val="宋体"/>
        <charset val="134"/>
      </rPr>
      <t>芯</t>
    </r>
  </si>
  <si>
    <t>10.2.6</t>
  </si>
  <si>
    <t>光纤跳线（总包方供货）</t>
  </si>
  <si>
    <r>
      <rPr>
        <sz val="10"/>
        <rFont val="Times New Roman"/>
        <charset val="134"/>
      </rPr>
      <t>LC-ST</t>
    </r>
    <r>
      <rPr>
        <sz val="10"/>
        <rFont val="宋体"/>
        <charset val="134"/>
      </rPr>
      <t>单模双芯</t>
    </r>
  </si>
  <si>
    <r>
      <rPr>
        <sz val="10"/>
        <rFont val="宋体"/>
        <charset val="134"/>
      </rPr>
      <t>对</t>
    </r>
  </si>
  <si>
    <r>
      <rPr>
        <sz val="10"/>
        <rFont val="宋体"/>
        <charset val="134"/>
      </rPr>
      <t>自动扒渣系统</t>
    </r>
  </si>
  <si>
    <t>*11.1</t>
  </si>
  <si>
    <t>*11.1.1</t>
  </si>
  <si>
    <r>
      <rPr>
        <sz val="10"/>
        <rFont val="宋体"/>
        <charset val="134"/>
      </rPr>
      <t>渣面检测相机及防护罩</t>
    </r>
  </si>
  <si>
    <t>带镜头，连接电缆电缆和风冷防护罩及支架等</t>
  </si>
  <si>
    <t>*11.1.2</t>
  </si>
  <si>
    <r>
      <rPr>
        <sz val="10"/>
        <rFont val="宋体"/>
        <charset val="134"/>
      </rPr>
      <t>倾翻检测相机及防护罩</t>
    </r>
  </si>
  <si>
    <t>*11.1.3</t>
  </si>
  <si>
    <r>
      <rPr>
        <sz val="10"/>
        <rFont val="宋体"/>
        <charset val="134"/>
      </rPr>
      <t>渣盆检测相机及防护罩</t>
    </r>
  </si>
  <si>
    <t>*11.1.4</t>
  </si>
  <si>
    <r>
      <rPr>
        <sz val="10"/>
        <rFont val="宋体"/>
        <charset val="134"/>
      </rPr>
      <t>铁水液面计与保护罩</t>
    </r>
  </si>
  <si>
    <t>*11.1.5</t>
  </si>
  <si>
    <r>
      <rPr>
        <sz val="10"/>
        <rFont val="宋体"/>
        <charset val="134"/>
      </rPr>
      <t>相机风冷阀门箱</t>
    </r>
  </si>
  <si>
    <r>
      <rPr>
        <sz val="10"/>
        <rFont val="宋体"/>
        <charset val="134"/>
      </rPr>
      <t>含手动球阀、压力表、空气过滤器等</t>
    </r>
  </si>
  <si>
    <t>*11.1.6</t>
  </si>
  <si>
    <r>
      <rPr>
        <sz val="10"/>
        <rFont val="宋体"/>
        <charset val="134"/>
      </rPr>
      <t>配电和网络箱</t>
    </r>
  </si>
  <si>
    <t>*11.1.7</t>
  </si>
  <si>
    <r>
      <rPr>
        <sz val="10"/>
        <rFont val="宋体"/>
        <charset val="134"/>
      </rPr>
      <t>千兆光电转换器</t>
    </r>
  </si>
  <si>
    <t>*11.1.8</t>
  </si>
  <si>
    <r>
      <rPr>
        <sz val="10"/>
        <rFont val="宋体"/>
        <charset val="134"/>
      </rPr>
      <t>智能扒渣服务器</t>
    </r>
  </si>
  <si>
    <t>11.2.1</t>
  </si>
  <si>
    <r>
      <rPr>
        <sz val="10"/>
        <rFont val="宋体"/>
        <charset val="134"/>
      </rPr>
      <t>阻燃对绞屏蔽软电缆</t>
    </r>
  </si>
  <si>
    <t>ZC-DJYVPR 4x2x1.0</t>
  </si>
  <si>
    <t>11.2.2</t>
  </si>
  <si>
    <r>
      <rPr>
        <sz val="10"/>
        <rFont val="宋体"/>
        <charset val="134"/>
      </rPr>
      <t>阻燃耐高温动力软电缆</t>
    </r>
  </si>
  <si>
    <t>ZC-YGGR-0.6/1kV 2x2.5</t>
  </si>
  <si>
    <t>11.2.3</t>
  </si>
  <si>
    <t>光缆（总包方供货）</t>
  </si>
  <si>
    <t>11.2.4</t>
  </si>
  <si>
    <t>耐高温网线（总包方供货）</t>
  </si>
  <si>
    <t>11.2.5</t>
  </si>
  <si>
    <t>11.2.6</t>
  </si>
  <si>
    <t>11.2.7</t>
  </si>
  <si>
    <r>
      <rPr>
        <sz val="10"/>
        <rFont val="宋体"/>
        <charset val="134"/>
      </rPr>
      <t>耐高温隔热套管</t>
    </r>
  </si>
  <si>
    <r>
      <rPr>
        <sz val="10"/>
        <rFont val="宋体"/>
        <charset val="134"/>
      </rPr>
      <t>罐架识别系统</t>
    </r>
  </si>
  <si>
    <t>*12.1</t>
  </si>
  <si>
    <t>*12.1.1</t>
  </si>
  <si>
    <r>
      <rPr>
        <sz val="10"/>
        <rFont val="宋体"/>
        <charset val="134"/>
      </rPr>
      <t>系统工作站</t>
    </r>
  </si>
  <si>
    <t>*12.1.2</t>
  </si>
  <si>
    <r>
      <rPr>
        <sz val="10"/>
        <rFont val="宋体"/>
        <charset val="134"/>
      </rPr>
      <t>调试工作站</t>
    </r>
  </si>
  <si>
    <t>*12.1.3</t>
  </si>
  <si>
    <r>
      <rPr>
        <sz val="10"/>
        <rFont val="宋体"/>
        <charset val="134"/>
      </rPr>
      <t>二级组网交换机</t>
    </r>
  </si>
  <si>
    <t>*12.1.4</t>
  </si>
  <si>
    <r>
      <rPr>
        <sz val="10"/>
        <rFont val="宋体"/>
        <charset val="134"/>
      </rPr>
      <t>一级组网交换机</t>
    </r>
  </si>
  <si>
    <t>*12.1.5</t>
  </si>
  <si>
    <r>
      <rPr>
        <sz val="10"/>
        <rFont val="Times New Roman"/>
        <charset val="134"/>
      </rPr>
      <t>RFID</t>
    </r>
    <r>
      <rPr>
        <sz val="10"/>
        <rFont val="宋体"/>
        <charset val="134"/>
      </rPr>
      <t>安装箱</t>
    </r>
  </si>
  <si>
    <t>400*300*600</t>
  </si>
  <si>
    <t>*12.1.6</t>
  </si>
  <si>
    <r>
      <rPr>
        <sz val="10"/>
        <rFont val="Times New Roman"/>
        <charset val="134"/>
      </rPr>
      <t>220</t>
    </r>
    <r>
      <rPr>
        <sz val="10"/>
        <rFont val="宋体"/>
        <charset val="134"/>
      </rPr>
      <t>转</t>
    </r>
    <r>
      <rPr>
        <sz val="10"/>
        <rFont val="Times New Roman"/>
        <charset val="134"/>
      </rPr>
      <t>24</t>
    </r>
    <r>
      <rPr>
        <sz val="10"/>
        <rFont val="宋体"/>
        <charset val="134"/>
      </rPr>
      <t>直流电源</t>
    </r>
  </si>
  <si>
    <r>
      <rPr>
        <sz val="10"/>
        <rFont val="Times New Roman"/>
        <charset val="134"/>
      </rPr>
      <t>24V/10A</t>
    </r>
    <r>
      <rPr>
        <sz val="10"/>
        <rFont val="宋体"/>
        <charset val="134"/>
      </rPr>
      <t>电源</t>
    </r>
  </si>
  <si>
    <t>*12.1.7</t>
  </si>
  <si>
    <r>
      <rPr>
        <sz val="10"/>
        <rFont val="Times New Roman"/>
        <charset val="134"/>
      </rPr>
      <t>RFID</t>
    </r>
    <r>
      <rPr>
        <sz val="10"/>
        <rFont val="宋体"/>
        <charset val="134"/>
      </rPr>
      <t>识别装置</t>
    </r>
  </si>
  <si>
    <r>
      <rPr>
        <sz val="10"/>
        <rFont val="Times New Roman"/>
        <charset val="134"/>
      </rPr>
      <t>RF680R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RF650A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RF660A</t>
    </r>
  </si>
  <si>
    <t>*12.1.8</t>
  </si>
  <si>
    <r>
      <rPr>
        <sz val="10"/>
        <rFont val="Times New Roman"/>
        <charset val="134"/>
      </rPr>
      <t>RFID</t>
    </r>
    <r>
      <rPr>
        <sz val="10"/>
        <rFont val="宋体"/>
        <charset val="134"/>
      </rPr>
      <t>天线立杆</t>
    </r>
  </si>
  <si>
    <r>
      <rPr>
        <sz val="10"/>
        <rFont val="Times New Roman"/>
        <charset val="134"/>
      </rPr>
      <t>2.5</t>
    </r>
    <r>
      <rPr>
        <sz val="10"/>
        <rFont val="宋体"/>
        <charset val="134"/>
      </rPr>
      <t>米监控立杆，平均口径</t>
    </r>
    <r>
      <rPr>
        <sz val="10"/>
        <rFont val="Times New Roman"/>
        <charset val="134"/>
      </rPr>
      <t>65mm</t>
    </r>
  </si>
  <si>
    <t>*12.1.9</t>
  </si>
  <si>
    <r>
      <rPr>
        <sz val="10"/>
        <rFont val="Times New Roman"/>
        <charset val="134"/>
      </rPr>
      <t>RF680</t>
    </r>
    <r>
      <rPr>
        <sz val="10"/>
        <rFont val="宋体"/>
        <charset val="134"/>
      </rPr>
      <t>高温标签</t>
    </r>
  </si>
  <si>
    <t>自制安装支架，将高温标签和保护罩固定在铁水罐上</t>
  </si>
  <si>
    <t>12.2.1</t>
  </si>
  <si>
    <t>12.2.2</t>
  </si>
  <si>
    <r>
      <rPr>
        <sz val="10"/>
        <rFont val="宋体"/>
        <charset val="134"/>
      </rPr>
      <t>镀锌金属波纹管</t>
    </r>
  </si>
  <si>
    <t>φ50</t>
  </si>
  <si>
    <t>12.2.3</t>
  </si>
  <si>
    <r>
      <rPr>
        <sz val="10"/>
        <rFont val="宋体"/>
        <charset val="134"/>
      </rPr>
      <t>铝合金板</t>
    </r>
  </si>
  <si>
    <r>
      <rPr>
        <sz val="10"/>
        <rFont val="宋体"/>
        <charset val="134"/>
      </rPr>
      <t>标准</t>
    </r>
    <r>
      <rPr>
        <sz val="10"/>
        <rFont val="Times New Roman"/>
        <charset val="134"/>
      </rPr>
      <t>4mm</t>
    </r>
    <r>
      <rPr>
        <sz val="10"/>
        <rFont val="宋体"/>
        <charset val="134"/>
      </rPr>
      <t>厚度表面阳极氧化或电泳处理</t>
    </r>
  </si>
  <si>
    <t>12.2.4</t>
  </si>
  <si>
    <r>
      <rPr>
        <sz val="10"/>
        <rFont val="Times New Roman"/>
        <charset val="134"/>
      </rPr>
      <t>4</t>
    </r>
    <r>
      <rPr>
        <sz val="10"/>
        <rFont val="宋体"/>
        <charset val="134"/>
      </rPr>
      <t>芯光缆（含端子盒）</t>
    </r>
  </si>
  <si>
    <t>gyta53-4b1</t>
  </si>
  <si>
    <t>12.2.5</t>
  </si>
  <si>
    <r>
      <rPr>
        <sz val="10"/>
        <rFont val="宋体"/>
        <charset val="134"/>
      </rPr>
      <t>铠装动力电缆</t>
    </r>
  </si>
  <si>
    <t>ZR-YJV22-0.6/1kV  1(3X2.5)</t>
  </si>
  <si>
    <t>12.2.6</t>
  </si>
  <si>
    <r>
      <rPr>
        <sz val="10"/>
        <rFont val="宋体"/>
        <charset val="134"/>
      </rPr>
      <t>控制线缆</t>
    </r>
  </si>
  <si>
    <t>KVVP ZR-KVVP 2×1.0</t>
  </si>
  <si>
    <r>
      <rPr>
        <sz val="10"/>
        <rFont val="宋体"/>
        <charset val="134"/>
      </rPr>
      <t>电讯设施</t>
    </r>
  </si>
  <si>
    <t>*13.1</t>
  </si>
  <si>
    <t>*13.1.1</t>
  </si>
  <si>
    <r>
      <rPr>
        <sz val="10"/>
        <rFont val="宋体"/>
        <charset val="134"/>
      </rPr>
      <t>电话系统</t>
    </r>
  </si>
  <si>
    <r>
      <rPr>
        <sz val="10"/>
        <rFont val="宋体"/>
        <charset val="134"/>
      </rPr>
      <t>接线箱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套，电话机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台</t>
    </r>
  </si>
  <si>
    <t>*13.1.2</t>
  </si>
  <si>
    <t>工业电视</t>
  </si>
  <si>
    <r>
      <rPr>
        <sz val="10"/>
        <rFont val="宋体"/>
        <charset val="134"/>
      </rPr>
      <t>摄像机</t>
    </r>
    <r>
      <rPr>
        <sz val="10"/>
        <rFont val="Times New Roman"/>
        <charset val="134"/>
      </rPr>
      <t>31</t>
    </r>
    <r>
      <rPr>
        <sz val="10"/>
        <rFont val="宋体"/>
        <charset val="134"/>
      </rPr>
      <t>套，监视器</t>
    </r>
    <r>
      <rPr>
        <sz val="10"/>
        <rFont val="Times New Roman"/>
        <charset val="134"/>
      </rPr>
      <t>9</t>
    </r>
    <r>
      <rPr>
        <sz val="10"/>
        <rFont val="宋体"/>
        <charset val="134"/>
      </rPr>
      <t>套，配套支架、存储器、解码器、机柜、工作站等</t>
    </r>
  </si>
  <si>
    <t>*13.1.3</t>
  </si>
  <si>
    <r>
      <rPr>
        <sz val="10"/>
        <rFont val="宋体"/>
        <charset val="134"/>
      </rPr>
      <t>对讲系统</t>
    </r>
  </si>
  <si>
    <r>
      <rPr>
        <sz val="10"/>
        <rFont val="宋体"/>
        <charset val="134"/>
      </rPr>
      <t>无线对讲</t>
    </r>
    <r>
      <rPr>
        <sz val="10"/>
        <rFont val="Times New Roman"/>
        <charset val="134"/>
      </rPr>
      <t>18</t>
    </r>
    <r>
      <rPr>
        <sz val="10"/>
        <rFont val="宋体"/>
        <charset val="134"/>
      </rPr>
      <t>套，对讲站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套，扬声器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套</t>
    </r>
  </si>
  <si>
    <t>*13.1.4</t>
  </si>
  <si>
    <r>
      <rPr>
        <sz val="10"/>
        <rFont val="宋体"/>
        <charset val="134"/>
      </rPr>
      <t>火灾报警系统</t>
    </r>
  </si>
  <si>
    <r>
      <rPr>
        <sz val="10"/>
        <rFont val="宋体"/>
        <charset val="134"/>
      </rPr>
      <t>火焰、感烟及感温探测器</t>
    </r>
    <r>
      <rPr>
        <sz val="10"/>
        <rFont val="Times New Roman"/>
        <charset val="134"/>
      </rPr>
      <t>24</t>
    </r>
    <r>
      <rPr>
        <sz val="10"/>
        <rFont val="宋体"/>
        <charset val="134"/>
      </rPr>
      <t>套；壁挂广播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套；配套接线箱模块等</t>
    </r>
  </si>
  <si>
    <t>接货、开箱检查，场内运输、外观检查、基础型钢供货及制作安装、本体安装、干燥、端子箱(汇控箱)安装、刷(喷)油漆、接地连接、防火堵洞、试验和调试、报验等全部工作内容</t>
  </si>
  <si>
    <t>13.2.1</t>
  </si>
  <si>
    <r>
      <rPr>
        <sz val="10"/>
        <rFont val="宋体"/>
        <charset val="134"/>
      </rPr>
      <t>大对数通讯电缆</t>
    </r>
  </si>
  <si>
    <t>HYA10*2*0.5</t>
  </si>
  <si>
    <t>13.2.2</t>
  </si>
  <si>
    <r>
      <rPr>
        <sz val="10"/>
        <rFont val="Times New Roman"/>
        <charset val="134"/>
      </rPr>
      <t>6</t>
    </r>
    <r>
      <rPr>
        <sz val="10"/>
        <rFont val="宋体"/>
        <charset val="134"/>
      </rPr>
      <t>类非屏蔽双绞线</t>
    </r>
  </si>
  <si>
    <t>UTP-CAT6</t>
  </si>
  <si>
    <t>13.2.3</t>
  </si>
  <si>
    <r>
      <rPr>
        <sz val="10"/>
        <rFont val="宋体"/>
        <charset val="134"/>
      </rPr>
      <t>单模光缆</t>
    </r>
  </si>
  <si>
    <r>
      <rPr>
        <sz val="10"/>
        <rFont val="Times New Roman"/>
        <charset val="134"/>
      </rPr>
      <t>GYXTW-4B 4</t>
    </r>
    <r>
      <rPr>
        <sz val="10"/>
        <rFont val="宋体"/>
        <charset val="134"/>
      </rPr>
      <t>芯</t>
    </r>
  </si>
  <si>
    <t>13.2.4</t>
  </si>
  <si>
    <r>
      <rPr>
        <sz val="10"/>
        <rFont val="Times New Roman"/>
        <charset val="134"/>
      </rPr>
      <t>GYXTW-12B 12</t>
    </r>
    <r>
      <rPr>
        <sz val="10"/>
        <rFont val="宋体"/>
        <charset val="134"/>
      </rPr>
      <t>芯</t>
    </r>
  </si>
  <si>
    <t>13.2.5</t>
  </si>
  <si>
    <r>
      <rPr>
        <sz val="10"/>
        <rFont val="宋体"/>
        <charset val="134"/>
      </rPr>
      <t>尾纤</t>
    </r>
  </si>
  <si>
    <r>
      <rPr>
        <sz val="10"/>
        <rFont val="宋体"/>
        <charset val="134"/>
      </rPr>
      <t>单模，</t>
    </r>
    <r>
      <rPr>
        <sz val="10"/>
        <rFont val="Times New Roman"/>
        <charset val="134"/>
      </rPr>
      <t>FC/PC</t>
    </r>
  </si>
  <si>
    <r>
      <rPr>
        <sz val="10"/>
        <rFont val="宋体"/>
        <charset val="134"/>
      </rPr>
      <t>根</t>
    </r>
  </si>
  <si>
    <t>13.2.6</t>
  </si>
  <si>
    <r>
      <rPr>
        <sz val="10"/>
        <rFont val="宋体"/>
        <charset val="134"/>
      </rPr>
      <t>光纤跳线</t>
    </r>
  </si>
  <si>
    <r>
      <rPr>
        <sz val="10"/>
        <rFont val="宋体"/>
        <charset val="134"/>
      </rPr>
      <t>单模，</t>
    </r>
    <r>
      <rPr>
        <sz val="10"/>
        <rFont val="Times New Roman"/>
        <charset val="134"/>
      </rPr>
      <t>FC/LC</t>
    </r>
    <r>
      <rPr>
        <sz val="10"/>
        <rFont val="宋体"/>
        <charset val="134"/>
      </rPr>
      <t>，</t>
    </r>
    <r>
      <rPr>
        <sz val="10"/>
        <rFont val="Times New Roman"/>
        <charset val="134"/>
      </rPr>
      <t>2m</t>
    </r>
  </si>
  <si>
    <t>13.2.7</t>
  </si>
  <si>
    <r>
      <rPr>
        <sz val="10"/>
        <rFont val="宋体"/>
        <charset val="134"/>
      </rPr>
      <t>电缆</t>
    </r>
  </si>
  <si>
    <t>YJV3x1.5mm</t>
  </si>
  <si>
    <t>13.2.8</t>
  </si>
  <si>
    <r>
      <rPr>
        <sz val="10"/>
        <rFont val="宋体"/>
        <charset val="134"/>
      </rPr>
      <t>广播线</t>
    </r>
  </si>
  <si>
    <t>NH-RVSP2*2.5</t>
  </si>
  <si>
    <t>13.2.9</t>
  </si>
  <si>
    <t>13.2.10</t>
  </si>
  <si>
    <t>YJV3x2.5mm</t>
  </si>
  <si>
    <t>13.2.11</t>
  </si>
  <si>
    <r>
      <rPr>
        <sz val="10"/>
        <rFont val="宋体"/>
        <charset val="134"/>
      </rPr>
      <t>耐火阻燃电缆</t>
    </r>
  </si>
  <si>
    <t>NH-RVVS2X1.5mm2</t>
  </si>
  <si>
    <t>13.2.12</t>
  </si>
  <si>
    <t>NH-RVV2X2.0mm2</t>
  </si>
  <si>
    <t>13.2.13</t>
  </si>
  <si>
    <t>NH-RVS2X1.5mm2</t>
  </si>
  <si>
    <t>13.2.14</t>
  </si>
  <si>
    <r>
      <rPr>
        <sz val="10"/>
        <rFont val="宋体"/>
        <charset val="134"/>
      </rPr>
      <t>总图设施</t>
    </r>
  </si>
  <si>
    <t>*14.1</t>
  </si>
  <si>
    <r>
      <rPr>
        <sz val="10"/>
        <rFont val="宋体"/>
        <charset val="134"/>
      </rPr>
      <t>铁水称（轨道衡）</t>
    </r>
  </si>
  <si>
    <r>
      <rPr>
        <sz val="10"/>
        <rFont val="Times New Roman"/>
        <charset val="134"/>
      </rPr>
      <t>400t</t>
    </r>
    <r>
      <rPr>
        <sz val="10"/>
        <rFont val="宋体"/>
        <charset val="134"/>
      </rPr>
      <t>双向称量不断轨的全电子动态轨道衡</t>
    </r>
  </si>
  <si>
    <t>14.2.1</t>
  </si>
  <si>
    <r>
      <rPr>
        <sz val="10"/>
        <rFont val="宋体"/>
        <charset val="134"/>
      </rPr>
      <t>新建钢筋混凝土排水沟</t>
    </r>
  </si>
  <si>
    <t>14.2.2</t>
  </si>
  <si>
    <r>
      <rPr>
        <sz val="10"/>
        <rFont val="宋体"/>
        <charset val="134"/>
      </rPr>
      <t>钢筋混凝土盖板</t>
    </r>
  </si>
  <si>
    <r>
      <rPr>
        <sz val="10"/>
        <rFont val="宋体"/>
        <charset val="134"/>
      </rPr>
      <t>钢筋混凝土盖板，长</t>
    </r>
    <r>
      <rPr>
        <sz val="10"/>
        <rFont val="Times New Roman"/>
        <charset val="134"/>
      </rPr>
      <t>580mm</t>
    </r>
    <r>
      <rPr>
        <sz val="10"/>
        <rFont val="宋体"/>
        <charset val="134"/>
      </rPr>
      <t>，宽</t>
    </r>
    <r>
      <rPr>
        <sz val="10"/>
        <rFont val="Times New Roman"/>
        <charset val="134"/>
      </rPr>
      <t>490mm</t>
    </r>
    <r>
      <rPr>
        <sz val="10"/>
        <rFont val="宋体"/>
        <charset val="134"/>
      </rPr>
      <t>，厚</t>
    </r>
    <r>
      <rPr>
        <sz val="10"/>
        <rFont val="Times New Roman"/>
        <charset val="134"/>
      </rPr>
      <t>150mm</t>
    </r>
  </si>
  <si>
    <r>
      <rPr>
        <sz val="10"/>
        <rFont val="宋体"/>
        <charset val="134"/>
      </rPr>
      <t>块</t>
    </r>
  </si>
  <si>
    <t>14.2.3</t>
  </si>
  <si>
    <r>
      <rPr>
        <sz val="10"/>
        <rFont val="宋体"/>
        <charset val="134"/>
      </rPr>
      <t>车挡</t>
    </r>
  </si>
  <si>
    <r>
      <rPr>
        <sz val="10"/>
        <rFont val="宋体"/>
        <charset val="134"/>
      </rPr>
      <t>钢筋混凝土弹簧车档</t>
    </r>
  </si>
  <si>
    <t>材料供货、制作、安装等满足施工图纸及规范要求的全部工作内容</t>
  </si>
  <si>
    <t>14.2.4</t>
  </si>
  <si>
    <t>14.2.5</t>
  </si>
  <si>
    <r>
      <rPr>
        <sz val="10"/>
        <rFont val="宋体"/>
        <charset val="134"/>
      </rPr>
      <t>新建道路</t>
    </r>
  </si>
  <si>
    <r>
      <rPr>
        <sz val="10"/>
        <rFont val="宋体"/>
        <charset val="134"/>
      </rPr>
      <t>城市型，混凝土面层厚</t>
    </r>
    <r>
      <rPr>
        <sz val="10"/>
        <rFont val="Times New Roman"/>
        <charset val="134"/>
      </rPr>
      <t>23cm</t>
    </r>
    <r>
      <rPr>
        <sz val="10"/>
        <rFont val="宋体"/>
        <charset val="134"/>
      </rPr>
      <t>，水泥稳定碎石基层厚</t>
    </r>
    <r>
      <rPr>
        <sz val="10"/>
        <rFont val="Times New Roman"/>
        <charset val="134"/>
      </rPr>
      <t>20cm</t>
    </r>
    <r>
      <rPr>
        <sz val="10"/>
        <rFont val="宋体"/>
        <charset val="134"/>
      </rPr>
      <t>，级配碎石基层厚</t>
    </r>
    <r>
      <rPr>
        <sz val="10"/>
        <rFont val="Times New Roman"/>
        <charset val="134"/>
      </rPr>
      <t>20cm</t>
    </r>
    <r>
      <rPr>
        <sz val="10"/>
        <rFont val="宋体"/>
        <charset val="134"/>
      </rPr>
      <t>，天然砂砾垫层</t>
    </r>
    <r>
      <rPr>
        <sz val="10"/>
        <rFont val="Times New Roman"/>
        <charset val="134"/>
      </rPr>
      <t>15cm</t>
    </r>
    <r>
      <rPr>
        <sz val="10"/>
        <rFont val="宋体"/>
        <charset val="134"/>
      </rPr>
      <t>。</t>
    </r>
  </si>
  <si>
    <t>降水、排水、土石方(含特殊爆破)挖运填、平整、滚压，基层铺筑、模板安拆堆放、砼浇捣养护、面层压光、伸缩缝、埋管、路缘（平）石铺砌等全部工作内容</t>
  </si>
  <si>
    <t>14.2.6</t>
  </si>
  <si>
    <r>
      <rPr>
        <sz val="10"/>
        <rFont val="宋体"/>
        <charset val="134"/>
      </rPr>
      <t>土方回填</t>
    </r>
  </si>
  <si>
    <t>14.2.7</t>
  </si>
  <si>
    <r>
      <rPr>
        <sz val="10"/>
        <rFont val="宋体"/>
        <charset val="134"/>
      </rPr>
      <t>树木移栽</t>
    </r>
  </si>
  <si>
    <r>
      <rPr>
        <sz val="10"/>
        <rFont val="宋体"/>
        <charset val="134"/>
      </rPr>
      <t>胸径</t>
    </r>
    <r>
      <rPr>
        <sz val="10"/>
        <rFont val="Times New Roman"/>
        <charset val="134"/>
      </rPr>
      <t>20cm</t>
    </r>
  </si>
  <si>
    <r>
      <rPr>
        <sz val="10"/>
        <rFont val="宋体"/>
        <charset val="134"/>
      </rPr>
      <t>棵</t>
    </r>
  </si>
  <si>
    <t>前期准备、起挖处理、运输装卸、栽植施工、支撑固定、养护、现场清理等全部工作内容</t>
  </si>
  <si>
    <t>14.2.8</t>
  </si>
  <si>
    <t>铁路路基碎石换填</t>
  </si>
  <si>
    <t>14.2.9</t>
  </si>
  <si>
    <r>
      <rPr>
        <sz val="10"/>
        <rFont val="宋体"/>
        <charset val="134"/>
      </rPr>
      <t>铁路土路基压实</t>
    </r>
  </si>
  <si>
    <t>清理路基基底杂物、挖填运土石方、平整场地，分层铺筑、机械压实、打夯、质量检测、修整完善等全部工作内容</t>
  </si>
  <si>
    <r>
      <rPr>
        <sz val="10"/>
        <rFont val="宋体"/>
        <charset val="134"/>
      </rPr>
      <t>拆除</t>
    </r>
  </si>
  <si>
    <r>
      <rPr>
        <sz val="10"/>
        <rFont val="宋体"/>
        <charset val="134"/>
      </rPr>
      <t>拆除厂房柱基础</t>
    </r>
  </si>
  <si>
    <t>钢筋混凝土；一般性拆除</t>
  </si>
  <si>
    <t>控制扬尘、拆除、切割、清理、运输至指定位置等全部工作内容</t>
  </si>
  <si>
    <r>
      <rPr>
        <sz val="10"/>
        <rFont val="宋体"/>
        <charset val="134"/>
      </rPr>
      <t>拆除厂房钢结构</t>
    </r>
  </si>
  <si>
    <t>一般性拆除</t>
  </si>
  <si>
    <r>
      <rPr>
        <sz val="10"/>
        <rFont val="宋体"/>
        <charset val="134"/>
      </rPr>
      <t>屋面彩钢板拆除</t>
    </r>
  </si>
  <si>
    <r>
      <rPr>
        <sz val="10"/>
        <rFont val="宋体"/>
        <charset val="134"/>
      </rPr>
      <t>墙面彩钢板拆除</t>
    </r>
  </si>
  <si>
    <r>
      <rPr>
        <sz val="10"/>
        <rFont val="宋体"/>
        <charset val="134"/>
      </rPr>
      <t>拆除两套脱硫设施钢平台</t>
    </r>
  </si>
  <si>
    <r>
      <rPr>
        <sz val="10"/>
        <rFont val="宋体"/>
        <charset val="134"/>
      </rPr>
      <t>拆除排水沟</t>
    </r>
  </si>
  <si>
    <r>
      <rPr>
        <sz val="10"/>
        <rFont val="宋体"/>
        <charset val="134"/>
      </rPr>
      <t>拆除铁水罐坑</t>
    </r>
  </si>
  <si>
    <r>
      <rPr>
        <sz val="10"/>
        <rFont val="宋体"/>
        <charset val="134"/>
      </rPr>
      <t>拆除管道支架基础</t>
    </r>
  </si>
  <si>
    <r>
      <rPr>
        <sz val="10"/>
        <rFont val="宋体"/>
        <charset val="134"/>
      </rPr>
      <t>拆除烟囱基础</t>
    </r>
  </si>
  <si>
    <r>
      <rPr>
        <sz val="10"/>
        <rFont val="宋体"/>
        <charset val="134"/>
      </rPr>
      <t>拆除烟囱本体钢结构</t>
    </r>
  </si>
  <si>
    <r>
      <rPr>
        <sz val="10"/>
        <rFont val="宋体"/>
        <charset val="134"/>
      </rPr>
      <t>拆除管道钢结构支架</t>
    </r>
  </si>
  <si>
    <r>
      <rPr>
        <sz val="10"/>
        <rFont val="宋体"/>
        <charset val="134"/>
      </rPr>
      <t>拆除脱硫站钢平台</t>
    </r>
  </si>
  <si>
    <r>
      <rPr>
        <sz val="10"/>
        <rFont val="宋体"/>
        <charset val="134"/>
      </rPr>
      <t>拆除一层电气室</t>
    </r>
  </si>
  <si>
    <t>框架结构；一般性拆除</t>
  </si>
  <si>
    <r>
      <rPr>
        <sz val="10"/>
        <rFont val="宋体"/>
        <charset val="134"/>
      </rPr>
      <t>拆除电缆隧道通风小房</t>
    </r>
  </si>
  <si>
    <r>
      <rPr>
        <sz val="10"/>
        <rFont val="宋体"/>
        <charset val="134"/>
      </rPr>
      <t>拆除液压站</t>
    </r>
  </si>
  <si>
    <r>
      <rPr>
        <sz val="10"/>
        <rFont val="宋体"/>
        <charset val="134"/>
      </rPr>
      <t>拆除</t>
    </r>
    <r>
      <rPr>
        <sz val="10"/>
        <rFont val="Times New Roman"/>
        <charset val="134"/>
      </rPr>
      <t>MCC</t>
    </r>
    <r>
      <rPr>
        <sz val="10"/>
        <rFont val="宋体"/>
        <charset val="134"/>
      </rPr>
      <t>电气室</t>
    </r>
  </si>
  <si>
    <r>
      <rPr>
        <sz val="10"/>
        <rFont val="宋体"/>
        <charset val="134"/>
      </rPr>
      <t>拆除操作室、</t>
    </r>
    <r>
      <rPr>
        <sz val="10"/>
        <rFont val="Times New Roman"/>
        <charset val="134"/>
      </rPr>
      <t>PLC</t>
    </r>
    <r>
      <rPr>
        <sz val="10"/>
        <rFont val="宋体"/>
        <charset val="134"/>
      </rPr>
      <t>室</t>
    </r>
  </si>
  <si>
    <t>轻钢结构；一般性拆除</t>
  </si>
  <si>
    <r>
      <rPr>
        <sz val="10"/>
        <rFont val="宋体"/>
        <charset val="134"/>
      </rPr>
      <t>拆除悬臂吊</t>
    </r>
  </si>
  <si>
    <r>
      <rPr>
        <sz val="10"/>
        <rFont val="宋体"/>
        <charset val="134"/>
      </rPr>
      <t>拆除喷吹脱硫站加料系统设备、管道</t>
    </r>
  </si>
  <si>
    <r>
      <rPr>
        <sz val="10"/>
        <rFont val="宋体"/>
        <charset val="134"/>
      </rPr>
      <t>拆除布袋除尘设施</t>
    </r>
    <r>
      <rPr>
        <sz val="10"/>
        <rFont val="Times New Roman"/>
        <charset val="134"/>
      </rPr>
      <t xml:space="preserve"> 20</t>
    </r>
    <r>
      <rPr>
        <sz val="10"/>
        <rFont val="宋体"/>
        <charset val="134"/>
      </rPr>
      <t>万</t>
    </r>
    <r>
      <rPr>
        <sz val="10"/>
        <rFont val="Times New Roman"/>
        <charset val="134"/>
      </rPr>
      <t>m3/h</t>
    </r>
  </si>
  <si>
    <r>
      <rPr>
        <sz val="10"/>
        <rFont val="宋体"/>
        <charset val="134"/>
      </rPr>
      <t>拆除离心通风机风量</t>
    </r>
    <r>
      <rPr>
        <sz val="10"/>
        <rFont val="Times New Roman"/>
        <charset val="134"/>
      </rPr>
      <t>85</t>
    </r>
    <r>
      <rPr>
        <sz val="10"/>
        <rFont val="宋体"/>
        <charset val="134"/>
      </rPr>
      <t>万</t>
    </r>
    <r>
      <rPr>
        <sz val="10"/>
        <rFont val="Times New Roman"/>
        <charset val="134"/>
      </rPr>
      <t>m3/h</t>
    </r>
    <r>
      <rPr>
        <sz val="10"/>
        <rFont val="宋体"/>
        <charset val="134"/>
      </rPr>
      <t>（含电机）</t>
    </r>
  </si>
  <si>
    <r>
      <rPr>
        <sz val="10"/>
        <rFont val="宋体"/>
        <charset val="134"/>
      </rPr>
      <t>拆除原精炼除尘高压变频器</t>
    </r>
  </si>
  <si>
    <r>
      <rPr>
        <sz val="10"/>
        <rFont val="宋体"/>
        <charset val="134"/>
      </rPr>
      <t>拆除</t>
    </r>
    <r>
      <rPr>
        <sz val="10"/>
        <rFont val="Times New Roman"/>
        <charset val="134"/>
      </rPr>
      <t>10kV</t>
    </r>
    <r>
      <rPr>
        <sz val="10"/>
        <rFont val="宋体"/>
        <charset val="134"/>
      </rPr>
      <t>电缆</t>
    </r>
  </si>
  <si>
    <r>
      <rPr>
        <sz val="10"/>
        <rFont val="Times New Roman"/>
        <charset val="134"/>
      </rPr>
      <t>3X70</t>
    </r>
    <r>
      <rPr>
        <sz val="10"/>
        <rFont val="宋体"/>
        <charset val="134"/>
      </rPr>
      <t>；一般性拆除</t>
    </r>
  </si>
  <si>
    <r>
      <rPr>
        <sz val="10"/>
        <rFont val="宋体"/>
        <charset val="134"/>
      </rPr>
      <t>拆除道路</t>
    </r>
  </si>
  <si>
    <r>
      <rPr>
        <sz val="10"/>
        <rFont val="宋体"/>
        <charset val="134"/>
      </rPr>
      <t>混凝土面层厚</t>
    </r>
    <r>
      <rPr>
        <sz val="10"/>
        <rFont val="Times New Roman"/>
        <charset val="134"/>
      </rPr>
      <t>23cm</t>
    </r>
    <r>
      <rPr>
        <sz val="10"/>
        <rFont val="宋体"/>
        <charset val="134"/>
      </rPr>
      <t>，水泥稳定碎石基层厚</t>
    </r>
    <r>
      <rPr>
        <sz val="10"/>
        <rFont val="Times New Roman"/>
        <charset val="134"/>
      </rPr>
      <t>20cm</t>
    </r>
    <r>
      <rPr>
        <sz val="10"/>
        <rFont val="宋体"/>
        <charset val="134"/>
      </rPr>
      <t>，级配碎石基层厚</t>
    </r>
    <r>
      <rPr>
        <sz val="10"/>
        <rFont val="Times New Roman"/>
        <charset val="134"/>
      </rPr>
      <t>20cm</t>
    </r>
    <r>
      <rPr>
        <sz val="10"/>
        <rFont val="宋体"/>
        <charset val="134"/>
      </rPr>
      <t>，天然砂砾垫层</t>
    </r>
    <r>
      <rPr>
        <sz val="10"/>
        <rFont val="Times New Roman"/>
        <charset val="134"/>
      </rPr>
      <t>15cm</t>
    </r>
    <r>
      <rPr>
        <sz val="10"/>
        <rFont val="宋体"/>
        <charset val="134"/>
      </rPr>
      <t>。一般性拆除</t>
    </r>
  </si>
  <si>
    <r>
      <rPr>
        <sz val="10"/>
        <rFont val="宋体"/>
        <charset val="134"/>
      </rPr>
      <t>保护性拆除轨道衡</t>
    </r>
  </si>
  <si>
    <r>
      <rPr>
        <sz val="10"/>
        <rFont val="Times New Roman"/>
        <charset val="134"/>
      </rPr>
      <t>400t</t>
    </r>
    <r>
      <rPr>
        <sz val="10"/>
        <rFont val="宋体"/>
        <charset val="134"/>
      </rPr>
      <t>电子动态轨道衡</t>
    </r>
  </si>
  <si>
    <r>
      <rPr>
        <sz val="10"/>
        <rFont val="宋体"/>
        <charset val="134"/>
      </rPr>
      <t>保护性拆除铁路</t>
    </r>
  </si>
  <si>
    <r>
      <rPr>
        <sz val="10"/>
        <rFont val="宋体"/>
        <charset val="134"/>
      </rPr>
      <t>冶</t>
    </r>
    <r>
      <rPr>
        <sz val="10"/>
        <rFont val="Times New Roman"/>
        <charset val="134"/>
      </rPr>
      <t>IA</t>
    </r>
    <r>
      <rPr>
        <sz val="10"/>
        <rFont val="宋体"/>
        <charset val="134"/>
      </rPr>
      <t>级，</t>
    </r>
    <r>
      <rPr>
        <sz val="10"/>
        <rFont val="Times New Roman"/>
        <charset val="134"/>
      </rPr>
      <t>60kg/m</t>
    </r>
    <r>
      <rPr>
        <sz val="10"/>
        <rFont val="宋体"/>
        <charset val="134"/>
      </rPr>
      <t>钢轨，钢筋混凝土枕</t>
    </r>
    <r>
      <rPr>
        <sz val="10"/>
        <rFont val="Times New Roman"/>
        <charset val="134"/>
      </rPr>
      <t>1840</t>
    </r>
    <r>
      <rPr>
        <sz val="10"/>
        <rFont val="宋体"/>
        <charset val="134"/>
      </rPr>
      <t>根</t>
    </r>
    <r>
      <rPr>
        <sz val="10"/>
        <rFont val="Times New Roman"/>
        <charset val="134"/>
      </rPr>
      <t>/km</t>
    </r>
  </si>
  <si>
    <r>
      <rPr>
        <sz val="10"/>
        <rFont val="宋体"/>
        <charset val="134"/>
      </rPr>
      <t>保护性拆除道岔</t>
    </r>
  </si>
  <si>
    <r>
      <rPr>
        <sz val="10"/>
        <rFont val="Times New Roman"/>
        <charset val="134"/>
      </rPr>
      <t>60Kg/m</t>
    </r>
    <r>
      <rPr>
        <sz val="10"/>
        <rFont val="宋体"/>
        <charset val="134"/>
      </rPr>
      <t>钢轨，</t>
    </r>
    <r>
      <rPr>
        <sz val="10"/>
        <rFont val="Times New Roman"/>
        <charset val="134"/>
      </rPr>
      <t>1/7</t>
    </r>
    <r>
      <rPr>
        <sz val="10"/>
        <rFont val="宋体"/>
        <charset val="134"/>
      </rPr>
      <t>单开道岔，</t>
    </r>
    <r>
      <rPr>
        <sz val="10"/>
        <rFont val="Times New Roman"/>
        <charset val="134"/>
      </rPr>
      <t>AT</t>
    </r>
    <r>
      <rPr>
        <sz val="10"/>
        <rFont val="宋体"/>
        <charset val="134"/>
      </rPr>
      <t>尖轨道岔，配套混凝土岔枕</t>
    </r>
  </si>
  <si>
    <r>
      <rPr>
        <sz val="10"/>
        <rFont val="宋体"/>
        <charset val="134"/>
      </rPr>
      <t>付</t>
    </r>
  </si>
  <si>
    <t>拆除电缆桥架</t>
  </si>
  <si>
    <t>拆除镀锌钢管</t>
  </si>
  <si>
    <t>拆除电缆</t>
  </si>
  <si>
    <t>拆除铁运线原脱硫平台下混凝土</t>
  </si>
  <si>
    <t>破除铁运线原脱硫平台下铁轨</t>
  </si>
  <si>
    <t>拆除钢筋混凝土地坪</t>
  </si>
  <si>
    <t>拆除除液压站砖砌房</t>
  </si>
  <si>
    <t>约8米宽，约20米长，高度约4米，墙厚约200mm。一般性拆除</t>
  </si>
  <si>
    <t>拆除除尘管道</t>
  </si>
  <si>
    <t>碳钢管道，一般性拆除</t>
  </si>
  <si>
    <t>拆除顶枪修复平台及楼梯、喷枪等</t>
  </si>
  <si>
    <t>拆除厂房两处门洞</t>
  </si>
  <si>
    <t>新建铁轨需要拆除厂房山墙8*10米，至精炼炉公路需要拆除5*6米门洞，涉及110平米彩瓦拆除，门洞钢构拆除，门洞加固等。一般性拆除</t>
  </si>
  <si>
    <t>项</t>
  </si>
  <si>
    <t>拆除倒罐站钢平台拆除</t>
  </si>
  <si>
    <t>拆除除尘管道及除尘罩</t>
  </si>
  <si>
    <t>拆除二层电气室房子</t>
  </si>
  <si>
    <t>框架结构，一般性拆除</t>
  </si>
  <si>
    <t>拆除倒罐站厂房四周蒸汽管道</t>
  </si>
  <si>
    <t>拆除倒罐站厂房与主跨厂房墙面</t>
  </si>
  <si>
    <t>拆除钢结构走道及栏杆等</t>
  </si>
  <si>
    <t>拆除0.6mm厚墙皮</t>
  </si>
  <si>
    <t>拆除雾炮机介质管道</t>
  </si>
  <si>
    <t>拆除旧除尘器基础</t>
  </si>
  <si>
    <t>拆除路边电缆桥架支架</t>
  </si>
  <si>
    <t>保护性拆除红绿灯</t>
  </si>
  <si>
    <t>拆除电缆沟基础</t>
  </si>
  <si>
    <t>拆除厂外部火车道旧除尘旁边地坪破除</t>
  </si>
  <si>
    <t>素砼地坪，一般性拆除</t>
  </si>
  <si>
    <t>保护性拆除行车</t>
  </si>
  <si>
    <t>拆除除尘管道支架拆除</t>
  </si>
  <si>
    <t>拆除渣场管廊进出口房子</t>
  </si>
  <si>
    <t>拆除新渣罐车轨道基础区域地面</t>
  </si>
  <si>
    <t>钢筋混凝土，一般性拆除</t>
  </si>
  <si>
    <t>电缆井电缆改造</t>
  </si>
  <si>
    <t>渣跨架空部分(约6m)电缆需改由埋地，涉及地面敷设、电缆沟施工、4根35KV电缆敷设</t>
  </si>
  <si>
    <t>保护性拆除铁水秤</t>
  </si>
  <si>
    <t>400t动态铁水秤</t>
  </si>
  <si>
    <t>测量</t>
  </si>
  <si>
    <t>除尘管道及支架；介质管道；铁路、道路、渣罐车路径等</t>
  </si>
  <si>
    <t>规格、长度、标高、定位等全部工作内容</t>
  </si>
  <si>
    <t>表3 工程量清单偏差报价表</t>
  </si>
  <si>
    <t>表3  工程量清单偏差报价表（分标段）</t>
  </si>
  <si>
    <t>序号</t>
  </si>
  <si>
    <t>工程项目及费用名称</t>
  </si>
  <si>
    <t>规格型号</t>
  </si>
  <si>
    <t>单位</t>
  </si>
  <si>
    <t>重量(t)</t>
  </si>
  <si>
    <t>合价（元）</t>
  </si>
  <si>
    <r>
      <rPr>
        <b/>
        <sz val="10"/>
        <color indexed="8"/>
        <rFont val="宋体"/>
        <charset val="134"/>
      </rPr>
      <t>主材损耗率</t>
    </r>
    <r>
      <rPr>
        <b/>
        <sz val="10"/>
        <color indexed="8"/>
        <rFont val="Times New Roman"/>
        <charset val="134"/>
      </rPr>
      <t>%</t>
    </r>
  </si>
  <si>
    <t>单重</t>
  </si>
  <si>
    <t>总 重</t>
  </si>
  <si>
    <r>
      <rPr>
        <b/>
        <sz val="10"/>
        <color indexed="8"/>
        <rFont val="宋体"/>
        <charset val="134"/>
      </rPr>
      <t>综合单价</t>
    </r>
    <r>
      <rPr>
        <b/>
        <sz val="10"/>
        <color indexed="8"/>
        <rFont val="Times New Roman"/>
        <charset val="134"/>
      </rPr>
      <t>(</t>
    </r>
    <r>
      <rPr>
        <b/>
        <sz val="10"/>
        <color indexed="8"/>
        <rFont val="宋体"/>
        <charset val="134"/>
      </rPr>
      <t>元</t>
    </r>
    <r>
      <rPr>
        <b/>
        <sz val="10"/>
        <color indexed="8"/>
        <rFont val="Times New Roman"/>
        <charset val="134"/>
      </rPr>
      <t>)</t>
    </r>
  </si>
  <si>
    <t>其中：主材单价</t>
  </si>
  <si>
    <r>
      <rPr>
        <b/>
        <sz val="10"/>
        <color indexed="8"/>
        <rFont val="宋体"/>
        <charset val="134"/>
      </rPr>
      <t>合价</t>
    </r>
    <r>
      <rPr>
        <b/>
        <sz val="10"/>
        <color indexed="8"/>
        <rFont val="Times New Roman"/>
        <charset val="134"/>
      </rPr>
      <t>(</t>
    </r>
    <r>
      <rPr>
        <b/>
        <sz val="10"/>
        <color indexed="8"/>
        <rFont val="宋体"/>
        <charset val="134"/>
      </rPr>
      <t>元</t>
    </r>
    <r>
      <rPr>
        <b/>
        <sz val="10"/>
        <color indexed="8"/>
        <rFont val="Times New Roman"/>
        <charset val="134"/>
      </rPr>
      <t>)</t>
    </r>
  </si>
  <si>
    <t>其中：主材合价</t>
  </si>
  <si>
    <t>其中</t>
  </si>
  <si>
    <t>：人工费</t>
  </si>
  <si>
    <t>无</t>
  </si>
  <si>
    <t>合计（结转至表1报价汇总表）</t>
  </si>
  <si>
    <t>注：没有偏差，请在此表中写无。如有偏差，只填写对应的子项号、工程项目及费用名称及其内容。</t>
  </si>
  <si>
    <t>表4. 现场因素、施工技术措施及施工措施费用报价表</t>
  </si>
  <si>
    <t>表4  现场因素、施工技术措施及施工措施费用报价表（分标段）</t>
  </si>
  <si>
    <t>计价内容及计算过程</t>
  </si>
  <si>
    <t>金额，元</t>
  </si>
  <si>
    <t>备注</t>
  </si>
  <si>
    <r>
      <t>共</t>
    </r>
    <r>
      <rPr>
        <sz val="11"/>
        <color rgb="FF000000"/>
        <rFont val="楷体_GB2312"/>
        <charset val="134"/>
      </rPr>
      <t xml:space="preserve">    页，本页小计     0  元</t>
    </r>
  </si>
  <si>
    <t>合计</t>
  </si>
  <si>
    <t>税金</t>
  </si>
  <si>
    <r>
      <rPr>
        <sz val="11"/>
        <color rgb="FF000000"/>
        <rFont val="宋体"/>
        <charset val="134"/>
      </rPr>
      <t>合计</t>
    </r>
    <r>
      <rPr>
        <sz val="11"/>
        <color rgb="FF000000"/>
        <rFont val="楷体_GB2312"/>
        <charset val="134"/>
      </rPr>
      <t xml:space="preserve"> 0元（结转至表1报价汇总表）</t>
    </r>
  </si>
  <si>
    <t xml:space="preserve"> </t>
  </si>
  <si>
    <t>投标单位：（盖章）</t>
  </si>
  <si>
    <t>法定代表人：（签字、盖章）</t>
  </si>
  <si>
    <t>日期 ：  年  月  日</t>
  </si>
  <si>
    <t>表5  安全文明施工费</t>
  </si>
  <si>
    <t>标段</t>
  </si>
  <si>
    <t>数量</t>
  </si>
  <si>
    <t>单价(元）</t>
  </si>
  <si>
    <t xml:space="preserve">辛集澳森2#连铸机改造工程      
 (安装标段) </t>
  </si>
  <si>
    <t>环境保护</t>
  </si>
  <si>
    <t>烟尘处理设备采购、使用</t>
  </si>
  <si>
    <t>安全生产/施工</t>
  </si>
  <si>
    <t>明细详见表6</t>
  </si>
  <si>
    <t>文明施工</t>
  </si>
  <si>
    <t>办公、生活区卫生</t>
  </si>
  <si>
    <t>材料堆放区整理、标准化标识</t>
  </si>
  <si>
    <t>临时设施</t>
  </si>
  <si>
    <t>施工场地围栏、围挡</t>
  </si>
  <si>
    <t>现场办公、材料堆放区设施</t>
  </si>
  <si>
    <t>日期 ：  年 月   日</t>
  </si>
  <si>
    <r>
      <rPr>
        <b/>
        <sz val="12"/>
        <color rgb="FF000000"/>
        <rFont val="宋体"/>
        <charset val="134"/>
      </rPr>
      <t>表6</t>
    </r>
    <r>
      <rPr>
        <b/>
        <sz val="12"/>
        <color rgb="FF000000"/>
        <rFont val="Times New Roman"/>
        <charset val="134"/>
      </rPr>
      <t xml:space="preserve">  </t>
    </r>
    <r>
      <rPr>
        <b/>
        <sz val="12"/>
        <color rgb="FF000000"/>
        <rFont val="宋体"/>
        <charset val="134"/>
      </rPr>
      <t>安全生产费用清单</t>
    </r>
  </si>
  <si>
    <t>安全生产费用清单</t>
  </si>
  <si>
    <t>类别</t>
  </si>
  <si>
    <t>明细</t>
  </si>
  <si>
    <t>金额（元）</t>
  </si>
  <si>
    <t>一、完善、改造和维护安全防护设施设备支出（不含“三同时”要求初期投入的安全设施），包括施工现场临时用电系统、洞口、临边、机械设备安全装置、高处作业防护、交叉作业防护、防火、防爆、防尘、防毒、防雷、防台风、防地质灾害、安全警示牌和标识牌、安全图板、安全防护棚、围挡、地下工程有害气体监测、通风、临时安全防护等设施设备支出，简称为“安全设施费”</t>
  </si>
  <si>
    <t>临时临边防护栏</t>
  </si>
  <si>
    <t>m</t>
  </si>
  <si>
    <t>孔洞盖板</t>
  </si>
  <si>
    <r>
      <rPr>
        <sz val="12"/>
        <color indexed="8"/>
        <rFont val="仿宋_GB2312"/>
        <charset val="134"/>
      </rPr>
      <t>m</t>
    </r>
    <r>
      <rPr>
        <vertAlign val="superscript"/>
        <sz val="12"/>
        <color indexed="8"/>
        <rFont val="仿宋_GB2312"/>
        <charset val="134"/>
      </rPr>
      <t>2</t>
    </r>
  </si>
  <si>
    <t>密目网</t>
  </si>
  <si>
    <t>防坠网</t>
  </si>
  <si>
    <t>防坠器</t>
  </si>
  <si>
    <r>
      <rPr>
        <sz val="10.5"/>
        <color indexed="8"/>
        <rFont val="宋体"/>
        <charset val="134"/>
      </rPr>
      <t>安全绳（</t>
    </r>
    <r>
      <rPr>
        <sz val="9"/>
        <color indexed="8"/>
        <rFont val="宋体"/>
        <charset val="134"/>
      </rPr>
      <t>φ</t>
    </r>
    <r>
      <rPr>
        <sz val="9"/>
        <color indexed="8"/>
        <rFont val="仿宋_GB2312"/>
        <charset val="134"/>
      </rPr>
      <t>1</t>
    </r>
    <r>
      <rPr>
        <sz val="9"/>
        <color indexed="8"/>
        <rFont val="仿宋_GB2312"/>
        <charset val="134"/>
      </rPr>
      <t>2mm</t>
    </r>
    <r>
      <rPr>
        <sz val="10.5"/>
        <color indexed="8"/>
        <rFont val="宋体"/>
        <charset val="134"/>
      </rPr>
      <t>）</t>
    </r>
  </si>
  <si>
    <t>轴流风机</t>
  </si>
  <si>
    <r>
      <rPr>
        <sz val="10.5"/>
        <color indexed="8"/>
        <rFont val="宋体"/>
        <charset val="134"/>
      </rPr>
      <t>施工</t>
    </r>
    <r>
      <rPr>
        <sz val="10.5"/>
        <color indexed="8"/>
        <rFont val="宋体"/>
        <charset val="134"/>
      </rPr>
      <t>围挡</t>
    </r>
  </si>
  <si>
    <t>规格参照标准化手册</t>
  </si>
  <si>
    <t>文明施工图牌</t>
  </si>
  <si>
    <t>块</t>
  </si>
  <si>
    <t>室内责任制牌</t>
  </si>
  <si>
    <t>安全警示牌</t>
  </si>
  <si>
    <t>气瓶固定装置（拖车）</t>
  </si>
  <si>
    <t>临电配电箱</t>
  </si>
  <si>
    <t>箱</t>
  </si>
  <si>
    <t>临电配电线路</t>
  </si>
  <si>
    <t>······</t>
  </si>
  <si>
    <t>二、配备、维护、保养应急救援器材、设备支出和应急救援队伍建设、应急预案制定与应急演练支出，简称为“应急救援费”</t>
  </si>
  <si>
    <t>灭火器</t>
  </si>
  <si>
    <t>具</t>
  </si>
  <si>
    <t>应急演练</t>
  </si>
  <si>
    <t>次</t>
  </si>
  <si>
    <t>应急药包</t>
  </si>
  <si>
    <t>三、开展重大危险源检测、评估、监控支出，安全生产风险分级管控和事故隐患整改支出，安全生产信息化建设、运维支出，简称为“风险控制费”</t>
  </si>
  <si>
    <t>隐患整改费用</t>
  </si>
  <si>
    <t>四、安全生产检查、评价（不包括新建、改建、扩建项目安全评价）、咨询和标准化建设支出，简称为“检查评价费”</t>
  </si>
  <si>
    <t>检查支出</t>
  </si>
  <si>
    <t>五、配备和更新现场作业人员安全防护用品支出，简称为“防护用品费”</t>
  </si>
  <si>
    <t>工作服</t>
  </si>
  <si>
    <t>安全帽</t>
  </si>
  <si>
    <t>顶</t>
  </si>
  <si>
    <t>劳保鞋</t>
  </si>
  <si>
    <t>双</t>
  </si>
  <si>
    <t>安全带</t>
  </si>
  <si>
    <t>副</t>
  </si>
  <si>
    <t>焊工手套</t>
  </si>
  <si>
    <t>焊工面罩</t>
  </si>
  <si>
    <t>护目镜</t>
  </si>
  <si>
    <t>电工手套</t>
  </si>
  <si>
    <t>电工绝缘劳保鞋</t>
  </si>
  <si>
    <t>普通手套</t>
  </si>
  <si>
    <t>工业防尘口罩</t>
  </si>
  <si>
    <t>耳塞</t>
  </si>
  <si>
    <t>对</t>
  </si>
  <si>
    <t>六、安全生产宣传、教育、培训和从业人员发现并报告事故隐患的奖励支出，简称为“宣传教育费”</t>
  </si>
  <si>
    <t>培训费</t>
  </si>
  <si>
    <t>人</t>
  </si>
  <si>
    <t>资料费</t>
  </si>
  <si>
    <t>安全宣传横幅</t>
  </si>
  <si>
    <t>道旗</t>
  </si>
  <si>
    <t>七、安全生产适用的新技术、新标准、新工艺、新装备的推广应用支出，简称为“四新应用费”</t>
  </si>
  <si>
    <t>八、安全设施及特种设备检测检验支出，简称为“设施检验费”</t>
  </si>
  <si>
    <t>气体报警仪标定</t>
  </si>
  <si>
    <t>九、安全生产责任保险支出，简称为“安全保险费”</t>
  </si>
  <si>
    <t>安全生产责任险</t>
  </si>
  <si>
    <t>十、其他与安全生产直接相关的支出，包含安全生产活动开展费用，包括但不限于安全生产类启动仪式、行为安全之星、青年安全示范岗等；安全生产课题研究费用；安全生产体系运行费用；其他与安全生产直接相关的费用的支出，简称为“其他安全费”。</t>
  </si>
  <si>
    <t>防暑药品</t>
  </si>
  <si>
    <t>人份</t>
  </si>
  <si>
    <t>医用口罩</t>
  </si>
  <si>
    <t>医用酒精</t>
  </si>
  <si>
    <t>L</t>
  </si>
  <si>
    <r>
      <rPr>
        <sz val="10.5"/>
        <color rgb="FFFF0000"/>
        <rFont val="宋体"/>
        <charset val="134"/>
      </rPr>
      <t>注：</t>
    </r>
    <r>
      <rPr>
        <sz val="10.5"/>
        <color rgb="FFFF0000"/>
        <rFont val="仿宋_GB2312"/>
        <charset val="134"/>
      </rPr>
      <t>1.</t>
    </r>
    <r>
      <rPr>
        <sz val="10.5"/>
        <color rgb="FFFF0000"/>
        <rFont val="宋体"/>
        <charset val="134"/>
      </rPr>
      <t>明细由各分包单位按照国家及规范要求列出。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</si>
</sst>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\&quot;#,##0;&quot;\&quot;&quot;\&quot;\-#,##0"/>
    <numFmt numFmtId="177" formatCode="&quot;\&quot;#,##0.00;&quot;\&quot;&quot;\&quot;\-#,##0.00"/>
    <numFmt numFmtId="178" formatCode="\$#,##0.00;\(\$#,##0.00\)"/>
    <numFmt numFmtId="179" formatCode="[$-F400]h:mm:ss\ AM/PM"/>
    <numFmt numFmtId="180" formatCode="0_ "/>
    <numFmt numFmtId="181" formatCode="0.0_ "/>
    <numFmt numFmtId="182" formatCode="0_);[Red]\(0\)"/>
    <numFmt numFmtId="183" formatCode="0.00_ "/>
    <numFmt numFmtId="184" formatCode="_-[$€-2]\ * #,##0.00_-;\-[$€-2]\ * #,##0.00_-;_-[$€-2]\ * &quot;-&quot;??_-"/>
    <numFmt numFmtId="185" formatCode="0.00_);[Red]\(0.00\)"/>
    <numFmt numFmtId="186" formatCode="[DBNum2][$RMB]General;[Red][DBNum2][$RMB]General"/>
    <numFmt numFmtId="187" formatCode="0.000_ "/>
  </numFmts>
  <fonts count="78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b/>
      <sz val="12"/>
      <color rgb="FF000000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黑体"/>
      <charset val="134"/>
    </font>
    <font>
      <sz val="10.5"/>
      <color indexed="8"/>
      <name val="宋体"/>
      <charset val="134"/>
    </font>
    <font>
      <sz val="12"/>
      <color indexed="8"/>
      <name val="仿宋_GB2312"/>
      <charset val="134"/>
    </font>
    <font>
      <sz val="10.5"/>
      <color rgb="FF000000"/>
      <name val="仿宋_GB2312"/>
      <charset val="134"/>
    </font>
    <font>
      <sz val="10.5"/>
      <color indexed="8"/>
      <name val="仿宋_GB2312"/>
      <charset val="134"/>
    </font>
    <font>
      <sz val="12"/>
      <color indexed="8"/>
      <name val="Times New Roman"/>
      <charset val="134"/>
    </font>
    <font>
      <sz val="10"/>
      <color indexed="8"/>
      <name val="Times New Roman"/>
      <charset val="134"/>
    </font>
    <font>
      <b/>
      <sz val="10.5"/>
      <color indexed="8"/>
      <name val="宋体"/>
      <charset val="134"/>
    </font>
    <font>
      <b/>
      <sz val="10.5"/>
      <color indexed="8"/>
      <name val="仿宋_GB2312"/>
      <charset val="134"/>
    </font>
    <font>
      <sz val="10.5"/>
      <color rgb="FFFF0000"/>
      <name val="宋体"/>
      <charset val="134"/>
    </font>
    <font>
      <sz val="12"/>
      <color indexed="8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1"/>
      <color rgb="FFFF0000"/>
      <name val="宋体"/>
      <charset val="134"/>
    </font>
    <font>
      <b/>
      <sz val="10"/>
      <color indexed="8"/>
      <name val="宋体"/>
      <charset val="134"/>
    </font>
    <font>
      <sz val="12"/>
      <color indexed="8"/>
      <name val="楷体_GB2312"/>
      <charset val="134"/>
    </font>
    <font>
      <b/>
      <sz val="12"/>
      <color indexed="8"/>
      <name val="楷体_GB2312"/>
      <charset val="134"/>
    </font>
    <font>
      <sz val="11"/>
      <color rgb="FF000000"/>
      <name val="宋体"/>
      <charset val="134"/>
    </font>
    <font>
      <sz val="11"/>
      <color indexed="8"/>
      <name val="楷体_GB2312"/>
      <charset val="134"/>
    </font>
    <font>
      <b/>
      <sz val="11"/>
      <color indexed="8"/>
      <name val="楷体_GB2312"/>
      <charset val="134"/>
    </font>
    <font>
      <sz val="10"/>
      <color indexed="8"/>
      <name val="楷体_GB2312"/>
      <charset val="134"/>
    </font>
    <font>
      <sz val="10"/>
      <name val="宋体"/>
      <charset val="134"/>
      <scheme val="minor"/>
    </font>
    <font>
      <sz val="10"/>
      <name val="Times New Roman"/>
      <charset val="134"/>
    </font>
    <font>
      <sz val="10"/>
      <name val="宋体"/>
      <charset val="134"/>
    </font>
    <font>
      <sz val="10"/>
      <name val="Times New Roman"/>
      <charset val="0"/>
    </font>
    <font>
      <sz val="10"/>
      <name val="宋体"/>
      <charset val="0"/>
    </font>
    <font>
      <sz val="10"/>
      <name val="Times New Roman"/>
      <charset val="161"/>
    </font>
    <font>
      <sz val="11"/>
      <color theme="1"/>
      <name val="Times New Roman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11"/>
      <name val="Times New Roman"/>
      <charset val="134"/>
    </font>
    <font>
      <sz val="9"/>
      <name val="宋体"/>
      <charset val="134"/>
    </font>
    <font>
      <b/>
      <sz val="9"/>
      <name val="Times New Roman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sz val="9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7.5"/>
      <color indexed="12"/>
      <name val="Arial"/>
      <charset val="134"/>
    </font>
    <font>
      <sz val="11"/>
      <name val="돋움"/>
      <charset val="134"/>
    </font>
    <font>
      <sz val="10"/>
      <name val="Helv"/>
      <charset val="134"/>
    </font>
    <font>
      <sz val="10"/>
      <name val="Arial"/>
      <charset val="134"/>
    </font>
    <font>
      <sz val="12"/>
      <name val="宋体"/>
      <charset val="134"/>
    </font>
    <font>
      <sz val="12"/>
      <name val="바탕체"/>
      <charset val="134"/>
    </font>
    <font>
      <sz val="10"/>
      <name val="Geneva"/>
      <charset val="0"/>
    </font>
    <font>
      <b/>
      <sz val="11"/>
      <color indexed="63"/>
      <name val="宋体"/>
      <charset val="134"/>
    </font>
    <font>
      <sz val="11"/>
      <color indexed="8"/>
      <name val="Tahoma"/>
      <charset val="134"/>
    </font>
    <font>
      <b/>
      <sz val="10"/>
      <color indexed="8"/>
      <name val="Times New Roman"/>
      <charset val="134"/>
    </font>
    <font>
      <sz val="9"/>
      <color indexed="8"/>
      <name val="宋体"/>
      <charset val="134"/>
    </font>
    <font>
      <sz val="9"/>
      <color indexed="8"/>
      <name val="仿宋_GB2312"/>
      <charset val="134"/>
    </font>
    <font>
      <sz val="11"/>
      <color rgb="FF000000"/>
      <name val="楷体_GB2312"/>
      <charset val="134"/>
    </font>
    <font>
      <sz val="10"/>
      <color rgb="FFFF0000"/>
      <name val="宋体"/>
      <charset val="134"/>
      <scheme val="minor"/>
    </font>
    <font>
      <sz val="10.5"/>
      <color rgb="FFFF0000"/>
      <name val="仿宋_GB2312"/>
      <charset val="134"/>
    </font>
    <font>
      <b/>
      <sz val="12"/>
      <color rgb="FF000000"/>
      <name val="Times New Roman"/>
      <charset val="134"/>
    </font>
    <font>
      <b/>
      <sz val="9"/>
      <name val="宋体"/>
      <charset val="134"/>
    </font>
    <font>
      <vertAlign val="superscript"/>
      <sz val="12"/>
      <color indexed="8"/>
      <name val="仿宋_GB231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7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4" borderId="11" applyNumberFormat="0" applyAlignment="0" applyProtection="0">
      <alignment vertical="center"/>
    </xf>
    <xf numFmtId="0" fontId="50" fillId="5" borderId="12" applyNumberFormat="0" applyAlignment="0" applyProtection="0">
      <alignment vertical="center"/>
    </xf>
    <xf numFmtId="0" fontId="51" fillId="5" borderId="11" applyNumberFormat="0" applyAlignment="0" applyProtection="0">
      <alignment vertical="center"/>
    </xf>
    <xf numFmtId="0" fontId="52" fillId="6" borderId="13" applyNumberFormat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4" fillId="0" borderId="15" applyNumberFormat="0" applyFill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33" fillId="0" borderId="0"/>
    <xf numFmtId="0" fontId="60" fillId="0" borderId="0" applyNumberFormat="0" applyFill="0" applyBorder="0" applyAlignment="0" applyProtection="0">
      <alignment vertical="top"/>
      <protection locked="0"/>
    </xf>
    <xf numFmtId="176" fontId="61" fillId="0" borderId="0" applyFont="0" applyFill="0" applyBorder="0" applyAlignment="0" applyProtection="0"/>
    <xf numFmtId="0" fontId="62" fillId="0" borderId="0"/>
    <xf numFmtId="0" fontId="33" fillId="0" borderId="0"/>
    <xf numFmtId="41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77" fontId="61" fillId="0" borderId="0" applyFont="0" applyFill="0" applyBorder="0" applyAlignment="0" applyProtection="0"/>
    <xf numFmtId="178" fontId="27" fillId="0" borderId="0">
      <alignment vertical="center"/>
    </xf>
    <xf numFmtId="0" fontId="63" fillId="0" borderId="0"/>
    <xf numFmtId="0" fontId="64" fillId="0" borderId="0">
      <alignment vertical="center"/>
    </xf>
    <xf numFmtId="0" fontId="65" fillId="0" borderId="0"/>
    <xf numFmtId="0" fontId="64" fillId="0" borderId="0"/>
    <xf numFmtId="0" fontId="64" fillId="0" borderId="0"/>
    <xf numFmtId="0" fontId="64" fillId="0" borderId="0"/>
    <xf numFmtId="0" fontId="2" fillId="0" borderId="0">
      <alignment vertical="center"/>
    </xf>
    <xf numFmtId="0" fontId="66" fillId="0" borderId="0"/>
    <xf numFmtId="179" fontId="2" fillId="0" borderId="0">
      <alignment vertical="center"/>
    </xf>
    <xf numFmtId="179" fontId="67" fillId="34" borderId="16" applyAlignment="0" applyProtection="0">
      <alignment vertical="center"/>
    </xf>
    <xf numFmtId="179" fontId="2" fillId="0" borderId="0" applyNumberFormat="0" applyFill="0" applyBorder="0" applyAlignment="0" applyProtection="0">
      <alignment vertical="center"/>
    </xf>
    <xf numFmtId="179" fontId="2" fillId="0" borderId="0">
      <alignment vertical="center"/>
    </xf>
    <xf numFmtId="0" fontId="68" fillId="0" borderId="0"/>
  </cellStyleXfs>
  <cellXfs count="190">
    <xf numFmtId="0" fontId="0" fillId="0" borderId="0" xfId="0">
      <alignment vertical="center"/>
    </xf>
    <xf numFmtId="179" fontId="1" fillId="0" borderId="0" xfId="0" applyNumberFormat="1" applyFont="1" applyFill="1" applyAlignment="1">
      <alignment vertical="center"/>
    </xf>
    <xf numFmtId="179" fontId="2" fillId="0" borderId="0" xfId="0" applyNumberFormat="1" applyFont="1" applyFill="1" applyAlignment="1">
      <alignment horizontal="left" vertical="center"/>
    </xf>
    <xf numFmtId="179" fontId="2" fillId="0" borderId="0" xfId="0" applyNumberFormat="1" applyFont="1" applyFill="1" applyAlignment="1">
      <alignment vertical="center"/>
    </xf>
    <xf numFmtId="179" fontId="2" fillId="0" borderId="0" xfId="0" applyNumberFormat="1" applyFont="1" applyFill="1" applyAlignment="1">
      <alignment horizontal="center" vertical="center"/>
    </xf>
    <xf numFmtId="180" fontId="2" fillId="0" borderId="0" xfId="0" applyNumberFormat="1" applyFont="1" applyFill="1" applyAlignment="1">
      <alignment horizontal="center" vertical="center"/>
    </xf>
    <xf numFmtId="179" fontId="3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180" fontId="4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180" fontId="5" fillId="0" borderId="0" xfId="0" applyNumberFormat="1" applyFont="1" applyFill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 wrapText="1"/>
    </xf>
    <xf numFmtId="180" fontId="6" fillId="0" borderId="1" xfId="0" applyNumberFormat="1" applyFont="1" applyFill="1" applyBorder="1" applyAlignment="1">
      <alignment horizontal="center" vertical="center" wrapText="1"/>
    </xf>
    <xf numFmtId="179" fontId="6" fillId="0" borderId="2" xfId="0" applyNumberFormat="1" applyFont="1" applyFill="1" applyBorder="1" applyAlignment="1">
      <alignment horizontal="left" vertical="center" wrapText="1"/>
    </xf>
    <xf numFmtId="179" fontId="6" fillId="0" borderId="1" xfId="0" applyNumberFormat="1" applyFont="1" applyFill="1" applyBorder="1" applyAlignment="1">
      <alignment horizontal="left" vertical="center" wrapText="1"/>
    </xf>
    <xf numFmtId="179" fontId="7" fillId="0" borderId="1" xfId="0" applyNumberFormat="1" applyFont="1" applyFill="1" applyBorder="1" applyAlignment="1">
      <alignment horizontal="center" vertical="center" wrapText="1"/>
    </xf>
    <xf numFmtId="180" fontId="8" fillId="0" borderId="1" xfId="0" applyNumberFormat="1" applyFont="1" applyFill="1" applyBorder="1" applyAlignment="1">
      <alignment horizontal="center" vertical="center" wrapText="1"/>
    </xf>
    <xf numFmtId="180" fontId="9" fillId="0" borderId="1" xfId="0" applyNumberFormat="1" applyFont="1" applyFill="1" applyBorder="1" applyAlignment="1">
      <alignment horizontal="center" vertical="center" wrapText="1"/>
    </xf>
    <xf numFmtId="179" fontId="10" fillId="0" borderId="1" xfId="0" applyNumberFormat="1" applyFont="1" applyFill="1" applyBorder="1" applyAlignment="1">
      <alignment horizontal="center" vertical="center" wrapText="1"/>
    </xf>
    <xf numFmtId="179" fontId="6" fillId="0" borderId="3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79" fontId="9" fillId="0" borderId="1" xfId="0" applyNumberFormat="1" applyFont="1" applyFill="1" applyBorder="1" applyAlignment="1">
      <alignment horizontal="center" vertical="center" wrapText="1"/>
    </xf>
    <xf numFmtId="179" fontId="6" fillId="0" borderId="4" xfId="0" applyNumberFormat="1" applyFont="1" applyFill="1" applyBorder="1" applyAlignment="1">
      <alignment horizontal="left" vertical="center" wrapText="1"/>
    </xf>
    <xf numFmtId="179" fontId="6" fillId="0" borderId="1" xfId="0" applyNumberFormat="1" applyFont="1" applyFill="1" applyBorder="1" applyAlignment="1">
      <alignment vertical="center" wrapText="1"/>
    </xf>
    <xf numFmtId="179" fontId="9" fillId="0" borderId="1" xfId="0" applyNumberFormat="1" applyFont="1" applyFill="1" applyBorder="1" applyAlignment="1">
      <alignment horizontal="left" vertical="center" wrapText="1"/>
    </xf>
    <xf numFmtId="181" fontId="9" fillId="0" borderId="1" xfId="0" applyNumberFormat="1" applyFont="1" applyFill="1" applyBorder="1" applyAlignment="1">
      <alignment horizontal="center" vertical="center" wrapText="1"/>
    </xf>
    <xf numFmtId="181" fontId="8" fillId="0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left"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180" fontId="13" fillId="0" borderId="1" xfId="0" applyNumberFormat="1" applyFont="1" applyFill="1" applyBorder="1" applyAlignment="1">
      <alignment horizontal="center" vertical="center" wrapText="1"/>
    </xf>
    <xf numFmtId="179" fontId="13" fillId="0" borderId="1" xfId="0" applyNumberFormat="1" applyFont="1" applyFill="1" applyBorder="1" applyAlignment="1">
      <alignment horizontal="center" vertical="center" wrapText="1"/>
    </xf>
    <xf numFmtId="179" fontId="12" fillId="0" borderId="1" xfId="0" applyNumberFormat="1" applyFont="1" applyFill="1" applyBorder="1" applyAlignment="1">
      <alignment horizontal="center" vertical="center" wrapText="1"/>
    </xf>
    <xf numFmtId="182" fontId="13" fillId="0" borderId="1" xfId="0" applyNumberFormat="1" applyFont="1" applyFill="1" applyBorder="1" applyAlignment="1">
      <alignment horizontal="left" vertical="center" wrapText="1" indent="2"/>
    </xf>
    <xf numFmtId="182" fontId="13" fillId="0" borderId="1" xfId="0" applyNumberFormat="1" applyFont="1" applyFill="1" applyBorder="1" applyAlignment="1">
      <alignment horizontal="center" vertical="center" wrapText="1"/>
    </xf>
    <xf numFmtId="179" fontId="14" fillId="0" borderId="1" xfId="0" applyNumberFormat="1" applyFont="1" applyFill="1" applyBorder="1" applyAlignment="1">
      <alignment horizontal="left" vertical="center" wrapText="1"/>
    </xf>
    <xf numFmtId="179" fontId="14" fillId="0" borderId="1" xfId="0" applyNumberFormat="1" applyFont="1" applyFill="1" applyBorder="1" applyAlignment="1">
      <alignment horizontal="center" vertical="center" wrapText="1"/>
    </xf>
    <xf numFmtId="180" fontId="14" fillId="0" borderId="1" xfId="0" applyNumberFormat="1" applyFont="1" applyFill="1" applyBorder="1" applyAlignment="1">
      <alignment horizontal="center" vertical="center" wrapText="1"/>
    </xf>
    <xf numFmtId="183" fontId="2" fillId="0" borderId="0" xfId="0" applyNumberFormat="1" applyFont="1" applyFill="1" applyAlignment="1">
      <alignment horizontal="center" vertical="center"/>
    </xf>
    <xf numFmtId="179" fontId="1" fillId="0" borderId="0" xfId="66" applyFont="1" applyFill="1" applyAlignment="1">
      <alignment vertical="center"/>
    </xf>
    <xf numFmtId="179" fontId="1" fillId="0" borderId="0" xfId="66" applyFont="1" applyFill="1" applyAlignment="1">
      <alignment horizontal="center" vertical="center"/>
    </xf>
    <xf numFmtId="179" fontId="2" fillId="0" borderId="0" xfId="67" applyNumberFormat="1" applyFont="1" applyFill="1" applyBorder="1">
      <alignment vertical="center"/>
    </xf>
    <xf numFmtId="179" fontId="2" fillId="0" borderId="0" xfId="66" applyFont="1" applyFill="1" applyAlignment="1">
      <alignment vertical="center"/>
    </xf>
    <xf numFmtId="179" fontId="1" fillId="0" borderId="5" xfId="0" applyNumberFormat="1" applyFont="1" applyFill="1" applyBorder="1" applyAlignment="1">
      <alignment horizontal="center" vertical="center"/>
    </xf>
    <xf numFmtId="179" fontId="1" fillId="0" borderId="6" xfId="0" applyNumberFormat="1" applyFont="1" applyFill="1" applyBorder="1" applyAlignment="1">
      <alignment horizontal="center" vertical="center"/>
    </xf>
    <xf numFmtId="179" fontId="1" fillId="0" borderId="7" xfId="0" applyNumberFormat="1" applyFont="1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left" vertical="center" wrapText="1"/>
    </xf>
    <xf numFmtId="182" fontId="15" fillId="0" borderId="1" xfId="68" applyNumberFormat="1" applyFont="1" applyFill="1" applyBorder="1" applyAlignment="1" applyProtection="1">
      <alignment horizontal="center" vertical="center" wrapText="1"/>
    </xf>
    <xf numFmtId="184" fontId="16" fillId="0" borderId="1" xfId="68" applyNumberFormat="1" applyFont="1" applyFill="1" applyBorder="1" applyAlignment="1" applyProtection="1">
      <alignment horizontal="left" vertical="center" wrapText="1"/>
    </xf>
    <xf numFmtId="184" fontId="16" fillId="0" borderId="1" xfId="68" applyNumberFormat="1" applyFont="1" applyFill="1" applyBorder="1" applyAlignment="1" applyProtection="1">
      <alignment horizontal="center" vertical="center" wrapText="1"/>
    </xf>
    <xf numFmtId="180" fontId="16" fillId="0" borderId="1" xfId="68" applyNumberFormat="1" applyFont="1" applyFill="1" applyBorder="1" applyAlignment="1" applyProtection="1">
      <alignment horizontal="center" vertical="center" wrapText="1"/>
    </xf>
    <xf numFmtId="184" fontId="15" fillId="0" borderId="1" xfId="68" applyNumberFormat="1" applyFont="1" applyFill="1" applyBorder="1" applyAlignment="1" applyProtection="1">
      <alignment horizontal="center" vertical="center" wrapText="1"/>
    </xf>
    <xf numFmtId="179" fontId="1" fillId="0" borderId="3" xfId="0" applyNumberFormat="1" applyFont="1" applyFill="1" applyBorder="1" applyAlignment="1">
      <alignment horizontal="left" vertical="center" wrapText="1"/>
    </xf>
    <xf numFmtId="180" fontId="16" fillId="0" borderId="1" xfId="68" applyNumberFormat="1" applyFont="1" applyFill="1" applyBorder="1" applyAlignment="1" applyProtection="1">
      <alignment horizontal="left" vertical="center" wrapText="1"/>
    </xf>
    <xf numFmtId="184" fontId="17" fillId="0" borderId="1" xfId="68" applyNumberFormat="1" applyFont="1" applyFill="1" applyBorder="1" applyAlignment="1" applyProtection="1">
      <alignment horizontal="left" vertical="center" wrapText="1"/>
    </xf>
    <xf numFmtId="179" fontId="18" fillId="0" borderId="1" xfId="0" applyNumberFormat="1" applyFont="1" applyFill="1" applyBorder="1" applyAlignment="1">
      <alignment vertical="center"/>
    </xf>
    <xf numFmtId="185" fontId="16" fillId="0" borderId="1" xfId="68" applyNumberFormat="1" applyFont="1" applyFill="1" applyBorder="1" applyAlignment="1" applyProtection="1">
      <alignment horizontal="center" vertical="center" wrapText="1"/>
    </xf>
    <xf numFmtId="179" fontId="1" fillId="0" borderId="4" xfId="0" applyNumberFormat="1" applyFont="1" applyFill="1" applyBorder="1" applyAlignment="1">
      <alignment horizontal="left" vertical="center" wrapText="1"/>
    </xf>
    <xf numFmtId="184" fontId="4" fillId="0" borderId="1" xfId="68" applyNumberFormat="1" applyFont="1" applyFill="1" applyBorder="1" applyAlignment="1" applyProtection="1">
      <alignment horizontal="center" vertical="center" wrapText="1"/>
    </xf>
    <xf numFmtId="182" fontId="19" fillId="0" borderId="1" xfId="68" applyNumberFormat="1" applyFont="1" applyFill="1" applyBorder="1" applyAlignment="1" applyProtection="1">
      <alignment horizontal="center" vertical="center" wrapText="1"/>
    </xf>
    <xf numFmtId="179" fontId="20" fillId="0" borderId="0" xfId="66" applyFont="1" applyFill="1" applyAlignment="1">
      <alignment horizontal="left" vertical="center"/>
    </xf>
    <xf numFmtId="179" fontId="1" fillId="0" borderId="0" xfId="66" applyFont="1" applyAlignment="1">
      <alignment vertical="center"/>
    </xf>
    <xf numFmtId="179" fontId="2" fillId="0" borderId="0" xfId="66" applyFont="1" applyAlignment="1">
      <alignment vertical="center"/>
    </xf>
    <xf numFmtId="179" fontId="21" fillId="0" borderId="5" xfId="66" applyFont="1" applyBorder="1" applyAlignment="1">
      <alignment horizontal="left" vertical="center"/>
    </xf>
    <xf numFmtId="179" fontId="21" fillId="0" borderId="6" xfId="66" applyFont="1" applyBorder="1" applyAlignment="1">
      <alignment horizontal="left" vertical="center"/>
    </xf>
    <xf numFmtId="179" fontId="21" fillId="0" borderId="7" xfId="66" applyFont="1" applyBorder="1" applyAlignment="1">
      <alignment horizontal="left" vertical="center"/>
    </xf>
    <xf numFmtId="179" fontId="21" fillId="0" borderId="1" xfId="66" applyFont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vertical="center"/>
    </xf>
    <xf numFmtId="179" fontId="22" fillId="0" borderId="1" xfId="0" applyNumberFormat="1" applyFont="1" applyFill="1" applyBorder="1" applyAlignment="1">
      <alignment vertical="center"/>
    </xf>
    <xf numFmtId="179" fontId="23" fillId="0" borderId="1" xfId="66" applyFont="1" applyBorder="1" applyAlignment="1">
      <alignment horizontal="center" vertical="center" wrapText="1"/>
    </xf>
    <xf numFmtId="183" fontId="2" fillId="0" borderId="1" xfId="0" applyNumberFormat="1" applyFont="1" applyFill="1" applyBorder="1" applyAlignment="1">
      <alignment vertical="center"/>
    </xf>
    <xf numFmtId="179" fontId="23" fillId="0" borderId="0" xfId="66" applyFont="1" applyAlignment="1">
      <alignment horizontal="left" vertical="center"/>
    </xf>
    <xf numFmtId="179" fontId="2" fillId="0" borderId="0" xfId="59" applyNumberFormat="1" applyFont="1" applyFill="1" applyAlignment="1">
      <alignment horizontal="center" vertical="center"/>
    </xf>
    <xf numFmtId="179" fontId="16" fillId="0" borderId="0" xfId="59" applyNumberFormat="1" applyFont="1" applyFill="1" applyAlignment="1">
      <alignment vertical="center"/>
    </xf>
    <xf numFmtId="179" fontId="2" fillId="0" borderId="0" xfId="59" applyNumberFormat="1" applyFont="1" applyFill="1" applyAlignment="1">
      <alignment vertical="center"/>
    </xf>
    <xf numFmtId="179" fontId="24" fillId="0" borderId="5" xfId="66" applyFont="1" applyBorder="1" applyAlignment="1">
      <alignment horizontal="left" vertical="center"/>
    </xf>
    <xf numFmtId="179" fontId="24" fillId="0" borderId="6" xfId="66" applyFont="1" applyBorder="1" applyAlignment="1">
      <alignment horizontal="left" vertical="center"/>
    </xf>
    <xf numFmtId="179" fontId="24" fillId="0" borderId="7" xfId="66" applyFont="1" applyBorder="1" applyAlignment="1">
      <alignment horizontal="left" vertical="center"/>
    </xf>
    <xf numFmtId="179" fontId="19" fillId="0" borderId="1" xfId="0" applyNumberFormat="1" applyFont="1" applyFill="1" applyBorder="1" applyAlignment="1">
      <alignment horizontal="center" vertical="center"/>
    </xf>
    <xf numFmtId="179" fontId="19" fillId="0" borderId="1" xfId="0" applyNumberFormat="1" applyFont="1" applyFill="1" applyBorder="1" applyAlignment="1">
      <alignment horizontal="center" vertical="center" wrapText="1"/>
    </xf>
    <xf numFmtId="179" fontId="19" fillId="0" borderId="2" xfId="0" applyNumberFormat="1" applyFont="1" applyFill="1" applyBorder="1" applyAlignment="1">
      <alignment horizontal="center" vertical="center" wrapText="1"/>
    </xf>
    <xf numFmtId="179" fontId="19" fillId="0" borderId="1" xfId="66" applyFont="1" applyBorder="1" applyAlignment="1">
      <alignment horizontal="center" vertical="top" wrapText="1"/>
    </xf>
    <xf numFmtId="179" fontId="19" fillId="0" borderId="3" xfId="0" applyNumberFormat="1" applyFont="1" applyFill="1" applyBorder="1" applyAlignment="1">
      <alignment horizontal="center" vertical="center" wrapText="1"/>
    </xf>
    <xf numFmtId="179" fontId="19" fillId="0" borderId="4" xfId="0" applyNumberFormat="1" applyFont="1" applyFill="1" applyBorder="1" applyAlignment="1">
      <alignment horizontal="center" vertical="center" wrapText="1"/>
    </xf>
    <xf numFmtId="179" fontId="19" fillId="0" borderId="1" xfId="66" applyFont="1" applyBorder="1" applyAlignment="1">
      <alignment horizontal="center" vertical="center" wrapText="1"/>
    </xf>
    <xf numFmtId="179" fontId="25" fillId="0" borderId="1" xfId="66" applyFont="1" applyBorder="1" applyAlignment="1">
      <alignment horizontal="justify" vertical="center" wrapText="1"/>
    </xf>
    <xf numFmtId="179" fontId="25" fillId="0" borderId="1" xfId="66" applyFont="1" applyBorder="1" applyAlignment="1">
      <alignment horizontal="center" vertical="center" wrapText="1"/>
    </xf>
    <xf numFmtId="179" fontId="16" fillId="0" borderId="1" xfId="66" applyFont="1" applyBorder="1" applyAlignment="1">
      <alignment horizontal="center" vertical="center" wrapText="1"/>
    </xf>
    <xf numFmtId="179" fontId="16" fillId="0" borderId="1" xfId="66" applyFont="1" applyBorder="1" applyAlignment="1">
      <alignment horizontal="justify" vertical="center" wrapText="1"/>
    </xf>
    <xf numFmtId="179" fontId="16" fillId="0" borderId="1" xfId="66" applyFont="1" applyBorder="1" applyAlignment="1">
      <alignment horizontal="center" vertical="top" wrapText="1"/>
    </xf>
    <xf numFmtId="179" fontId="25" fillId="0" borderId="1" xfId="66" applyFont="1" applyBorder="1" applyAlignment="1">
      <alignment horizontal="center" vertical="top" wrapText="1"/>
    </xf>
    <xf numFmtId="179" fontId="25" fillId="0" borderId="1" xfId="66" applyFont="1" applyBorder="1" applyAlignment="1">
      <alignment horizontal="justify" vertical="top" wrapText="1"/>
    </xf>
    <xf numFmtId="179" fontId="25" fillId="0" borderId="0" xfId="66" applyFont="1" applyAlignment="1">
      <alignment horizontal="left" vertical="center"/>
    </xf>
    <xf numFmtId="0" fontId="26" fillId="0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left" vertical="center"/>
    </xf>
    <xf numFmtId="0" fontId="27" fillId="0" borderId="0" xfId="0" applyFont="1" applyFill="1" applyAlignment="1">
      <alignment horizontal="left" vertical="center" wrapText="1"/>
    </xf>
    <xf numFmtId="183" fontId="27" fillId="0" borderId="0" xfId="0" applyNumberFormat="1" applyFont="1" applyFill="1" applyAlignment="1">
      <alignment horizontal="center" vertical="center"/>
    </xf>
    <xf numFmtId="183" fontId="26" fillId="0" borderId="0" xfId="0" applyNumberFormat="1" applyFont="1" applyFill="1" applyAlignment="1">
      <alignment horizontal="right" vertical="center"/>
    </xf>
    <xf numFmtId="0" fontId="26" fillId="0" borderId="0" xfId="0" applyFont="1" applyFill="1" applyAlignment="1">
      <alignment horizontal="left" vertical="center"/>
    </xf>
    <xf numFmtId="0" fontId="27" fillId="0" borderId="1" xfId="0" applyFont="1" applyFill="1" applyBorder="1" applyAlignment="1">
      <alignment horizontal="center" vertical="center" textRotation="255"/>
    </xf>
    <xf numFmtId="0" fontId="27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183" fontId="27" fillId="0" borderId="1" xfId="0" applyNumberFormat="1" applyFont="1" applyFill="1" applyBorder="1" applyAlignment="1">
      <alignment horizontal="center" vertical="center"/>
    </xf>
    <xf numFmtId="183" fontId="26" fillId="0" borderId="1" xfId="0" applyNumberFormat="1" applyFont="1" applyFill="1" applyBorder="1" applyAlignment="1">
      <alignment horizontal="right" vertical="center" wrapText="1"/>
    </xf>
    <xf numFmtId="9" fontId="26" fillId="0" borderId="1" xfId="3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183" fontId="26" fillId="0" borderId="1" xfId="0" applyNumberFormat="1" applyFont="1" applyFill="1" applyBorder="1" applyAlignment="1">
      <alignment horizontal="right" vertical="center"/>
    </xf>
    <xf numFmtId="0" fontId="27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center" vertical="center"/>
    </xf>
    <xf numFmtId="9" fontId="26" fillId="0" borderId="1" xfId="3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left" vertical="center" wrapText="1"/>
    </xf>
    <xf numFmtId="0" fontId="27" fillId="0" borderId="1" xfId="0" applyNumberFormat="1" applyFont="1" applyFill="1" applyBorder="1" applyAlignment="1">
      <alignment horizontal="center" vertical="center" shrinkToFit="1"/>
    </xf>
    <xf numFmtId="0" fontId="27" fillId="0" borderId="1" xfId="0" applyFont="1" applyFill="1" applyBorder="1" applyAlignment="1">
      <alignment horizontal="left" vertical="center" wrapText="1" readingOrder="1"/>
    </xf>
    <xf numFmtId="0" fontId="28" fillId="0" borderId="1" xfId="0" applyFont="1" applyFill="1" applyBorder="1" applyAlignment="1">
      <alignment horizontal="center" vertical="center" wrapText="1" readingOrder="1"/>
    </xf>
    <xf numFmtId="0" fontId="29" fillId="0" borderId="1" xfId="0" applyFont="1" applyFill="1" applyBorder="1" applyAlignment="1">
      <alignment horizontal="left" vertical="center" wrapText="1"/>
    </xf>
    <xf numFmtId="183" fontId="29" fillId="0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left" vertical="center"/>
    </xf>
    <xf numFmtId="0" fontId="29" fillId="0" borderId="1" xfId="0" applyFont="1" applyFill="1" applyBorder="1" applyAlignment="1">
      <alignment horizontal="left" vertical="center"/>
    </xf>
    <xf numFmtId="0" fontId="29" fillId="0" borderId="1" xfId="0" applyFont="1" applyFill="1" applyBorder="1" applyAlignment="1">
      <alignment horizontal="center" vertical="center"/>
    </xf>
    <xf numFmtId="0" fontId="27" fillId="0" borderId="1" xfId="64" applyFont="1" applyFill="1" applyBorder="1" applyAlignment="1">
      <alignment horizontal="left" vertical="center"/>
    </xf>
    <xf numFmtId="0" fontId="27" fillId="0" borderId="1" xfId="64" applyFont="1" applyFill="1" applyBorder="1" applyAlignment="1">
      <alignment horizontal="left" vertical="center" wrapText="1"/>
    </xf>
    <xf numFmtId="0" fontId="28" fillId="0" borderId="1" xfId="64" applyFont="1" applyFill="1" applyBorder="1" applyAlignment="1">
      <alignment horizontal="left" vertical="center"/>
    </xf>
    <xf numFmtId="0" fontId="30" fillId="0" borderId="1" xfId="0" applyFont="1" applyFill="1" applyBorder="1" applyAlignment="1">
      <alignment horizontal="left" vertical="center" wrapText="1"/>
    </xf>
    <xf numFmtId="49" fontId="27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vertical="center"/>
    </xf>
    <xf numFmtId="0" fontId="26" fillId="0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28" fillId="0" borderId="1" xfId="0" applyNumberFormat="1" applyFont="1" applyFill="1" applyBorder="1" applyAlignment="1">
      <alignment horizontal="center" vertical="center" shrinkToFit="1"/>
    </xf>
    <xf numFmtId="0" fontId="27" fillId="0" borderId="1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 applyProtection="1">
      <alignment horizontal="left" vertical="center" wrapText="1"/>
      <protection locked="0"/>
    </xf>
    <xf numFmtId="0" fontId="27" fillId="0" borderId="1" xfId="0" applyFont="1" applyFill="1" applyBorder="1" applyAlignment="1" applyProtection="1">
      <alignment horizontal="left" vertical="center" wrapText="1"/>
      <protection locked="0"/>
    </xf>
    <xf numFmtId="0" fontId="27" fillId="0" borderId="1" xfId="0" applyFont="1" applyFill="1" applyBorder="1" applyAlignment="1" applyProtection="1">
      <alignment horizontal="center" vertical="center" wrapText="1"/>
      <protection locked="0"/>
    </xf>
    <xf numFmtId="183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0" borderId="1" xfId="0" applyNumberFormat="1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27" fillId="0" borderId="1" xfId="63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center" vertical="center"/>
    </xf>
    <xf numFmtId="49" fontId="27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 vertical="center" wrapText="1"/>
    </xf>
    <xf numFmtId="0" fontId="28" fillId="2" borderId="1" xfId="0" applyNumberFormat="1" applyFont="1" applyFill="1" applyBorder="1" applyAlignment="1">
      <alignment horizontal="center" vertical="center" shrinkToFit="1"/>
    </xf>
    <xf numFmtId="0" fontId="27" fillId="2" borderId="1" xfId="0" applyNumberFormat="1" applyFont="1" applyFill="1" applyBorder="1" applyAlignment="1">
      <alignment horizontal="center" vertical="center" shrinkToFit="1"/>
    </xf>
    <xf numFmtId="183" fontId="27" fillId="2" borderId="1" xfId="0" applyNumberFormat="1" applyFont="1" applyFill="1" applyBorder="1" applyAlignment="1">
      <alignment horizontal="center" vertical="center"/>
    </xf>
    <xf numFmtId="183" fontId="26" fillId="2" borderId="1" xfId="0" applyNumberFormat="1" applyFont="1" applyFill="1" applyBorder="1" applyAlignment="1">
      <alignment horizontal="right" vertical="center" wrapText="1"/>
    </xf>
    <xf numFmtId="0" fontId="26" fillId="2" borderId="1" xfId="0" applyFont="1" applyFill="1" applyBorder="1" applyAlignment="1">
      <alignment vertical="center"/>
    </xf>
    <xf numFmtId="183" fontId="27" fillId="0" borderId="1" xfId="0" applyNumberFormat="1" applyFont="1" applyFill="1" applyBorder="1" applyAlignment="1">
      <alignment horizontal="center" vertical="center" shrinkToFit="1"/>
    </xf>
    <xf numFmtId="2" fontId="26" fillId="0" borderId="1" xfId="0" applyNumberFormat="1" applyFont="1" applyFill="1" applyBorder="1" applyAlignment="1">
      <alignment horizontal="left" vertical="center" wrapText="1"/>
    </xf>
    <xf numFmtId="183" fontId="27" fillId="0" borderId="1" xfId="0" applyNumberFormat="1" applyFont="1" applyFill="1" applyBorder="1" applyAlignment="1">
      <alignment horizontal="center" vertical="center" wrapText="1"/>
    </xf>
    <xf numFmtId="0" fontId="27" fillId="0" borderId="1" xfId="61" applyFont="1" applyFill="1" applyBorder="1" applyAlignment="1">
      <alignment horizontal="left" vertical="center" wrapText="1"/>
    </xf>
    <xf numFmtId="0" fontId="27" fillId="0" borderId="1" xfId="61" applyFont="1" applyFill="1" applyBorder="1" applyAlignment="1">
      <alignment horizontal="center" vertical="center" wrapText="1"/>
    </xf>
    <xf numFmtId="183" fontId="27" fillId="0" borderId="1" xfId="61" applyNumberFormat="1" applyFont="1" applyFill="1" applyBorder="1" applyAlignment="1">
      <alignment horizontal="center" vertical="center" wrapText="1"/>
    </xf>
    <xf numFmtId="0" fontId="28" fillId="0" borderId="1" xfId="61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left" vertical="center" wrapText="1"/>
    </xf>
    <xf numFmtId="49" fontId="27" fillId="0" borderId="1" xfId="0" applyNumberFormat="1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>
      <alignment vertical="center"/>
    </xf>
    <xf numFmtId="0" fontId="28" fillId="0" borderId="1" xfId="64" applyFont="1" applyFill="1" applyBorder="1" applyAlignment="1">
      <alignment horizontal="left" vertical="center" wrapText="1"/>
    </xf>
    <xf numFmtId="183" fontId="27" fillId="0" borderId="1" xfId="0" applyNumberFormat="1" applyFont="1" applyFill="1" applyBorder="1" applyAlignment="1">
      <alignment horizontal="right" vertical="center"/>
    </xf>
    <xf numFmtId="182" fontId="27" fillId="0" borderId="1" xfId="0" applyNumberFormat="1" applyFont="1" applyFill="1" applyBorder="1" applyAlignment="1">
      <alignment horizontal="center" vertical="center" wrapText="1"/>
    </xf>
    <xf numFmtId="180" fontId="26" fillId="0" borderId="1" xfId="0" applyNumberFormat="1" applyFont="1" applyFill="1" applyBorder="1" applyAlignment="1">
      <alignment horizontal="right" vertical="center"/>
    </xf>
    <xf numFmtId="0" fontId="32" fillId="0" borderId="0" xfId="0" applyFont="1">
      <alignment vertical="center"/>
    </xf>
    <xf numFmtId="0" fontId="33" fillId="0" borderId="0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34" fillId="0" borderId="2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180" fontId="34" fillId="0" borderId="1" xfId="0" applyNumberFormat="1" applyFont="1" applyBorder="1" applyAlignment="1">
      <alignment horizontal="center" vertical="center" wrapText="1"/>
    </xf>
    <xf numFmtId="0" fontId="34" fillId="0" borderId="2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justify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4" fillId="0" borderId="4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center" vertical="center" wrapText="1"/>
    </xf>
    <xf numFmtId="179" fontId="38" fillId="0" borderId="0" xfId="0" applyNumberFormat="1" applyFont="1" applyFill="1" applyAlignment="1">
      <alignment horizontal="right" vertical="center"/>
    </xf>
    <xf numFmtId="186" fontId="39" fillId="0" borderId="0" xfId="0" applyNumberFormat="1" applyFont="1" applyFill="1" applyAlignment="1">
      <alignment horizontal="center" vertical="center"/>
    </xf>
    <xf numFmtId="179" fontId="38" fillId="0" borderId="0" xfId="0" applyNumberFormat="1" applyFont="1" applyFill="1" applyAlignment="1">
      <alignment vertical="center"/>
    </xf>
    <xf numFmtId="180" fontId="38" fillId="0" borderId="0" xfId="67" applyNumberFormat="1" applyFont="1" applyFill="1" applyBorder="1">
      <alignment vertical="center"/>
    </xf>
    <xf numFmtId="180" fontId="2" fillId="0" borderId="0" xfId="67" applyNumberFormat="1" applyFont="1" applyFill="1" applyBorder="1">
      <alignment vertical="center"/>
    </xf>
    <xf numFmtId="179" fontId="38" fillId="0" borderId="0" xfId="67" applyNumberFormat="1" applyFont="1" applyFill="1" applyBorder="1">
      <alignment vertical="center"/>
    </xf>
    <xf numFmtId="183" fontId="2" fillId="0" borderId="0" xfId="67" applyNumberFormat="1" applyFont="1" applyFill="1" applyBorder="1">
      <alignment vertical="center"/>
    </xf>
    <xf numFmtId="179" fontId="40" fillId="0" borderId="0" xfId="67" applyNumberFormat="1" applyFont="1" applyFill="1" applyBorder="1" applyAlignment="1">
      <alignment horizontal="left" vertical="center"/>
    </xf>
    <xf numFmtId="187" fontId="38" fillId="0" borderId="0" xfId="67" applyNumberFormat="1" applyFont="1" applyFill="1" applyBorder="1">
      <alignment vertical="center"/>
    </xf>
  </cellXfs>
  <cellStyles count="7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总表123 " xfId="49"/>
    <cellStyle name="Hyperlink" xfId="50"/>
    <cellStyle name="Currency [0]_ SG&amp;A Bridge " xfId="51"/>
    <cellStyle name=" 1" xfId="52"/>
    <cellStyle name="_综合表123 " xfId="53"/>
    <cellStyle name="Comma [0]_ SG&amp;A Bridge " xfId="54"/>
    <cellStyle name="Comma_ SG&amp;A Bridge " xfId="55"/>
    <cellStyle name="Currency_ SG&amp;A Bridge " xfId="56"/>
    <cellStyle name="Currency1" xfId="57"/>
    <cellStyle name="Normal_ SG&amp;A Bridge " xfId="58"/>
    <cellStyle name="常规 2" xfId="59"/>
    <cellStyle name="표준_0N-HANDLING " xfId="60"/>
    <cellStyle name="常规 3" xfId="61"/>
    <cellStyle name="普通_PLC系统" xfId="62"/>
    <cellStyle name="常规 2 3" xfId="63"/>
    <cellStyle name="常规 36" xfId="64"/>
    <cellStyle name="常规_概算1-1" xfId="65"/>
    <cellStyle name="工程费用名称2 8 3 2 2" xfId="66"/>
    <cellStyle name="输出 12 2 3 10 2" xfId="67"/>
    <cellStyle name="工程费用名称2 8 3 2" xfId="68"/>
    <cellStyle name="40% - 强调文字颜色 2 39" xfId="69"/>
    <cellStyle name="常规 13" xfId="70"/>
  </cellStyles>
  <tableStyles count="0" defaultTableStyle="TableStyleMedium9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CCTEC\&#20998;&#21253;&#32467;&#31639;\&#36830;&#38136;&#32467;&#31639;\&#32599;&#28304;&#38397;&#20809;2#&#19971;&#27969;&#26041;&#22383;20241224\&#20013;&#20918;&#21335;&#26041;&#36830;&#38136;&#32599;&#28304;&#38397;&#20809;2#&#19971;&#26426;&#19971;&#27969;&#26041;&#22383;&#36830;&#38136;&#26426;&#24037;&#31243;(MLM0223J0)&#26045;&#24037;&#20998;&#21253;&#32467;&#31639;-&#27754;&#38647;&#23457;-202502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4037;&#31243;&#25991;&#20214;&#65288;090918)\&#26412;&#38050;&#65288;0906&#65289;\&#20919;&#36711;&#30789;&#38050;&#20844;&#36741;(0905)\&#26816;&#39564;&#27004;&#26041;&#26696;\WINDOWS\TEMP\instca22.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2020&#24180;&#39640;&#38454;&#27573;\&#22826;&#34892;&#20108;&#26399;&#20919;&#36711;&#25253;&#20215;\&#22826;&#34892;&#20108;&#26399;&#20919;&#36711;&#25253;&#20215;\&#24037;&#31243;&#32463;&#27982;\ok&#20919;&#36711;--&#21016;&#40511;&#26149;\&#22826;&#34892;&#20108;&#26399;&#37240;&#38208;&#26426;&#32452;-&#28082;&#21387;&#31995;&#32479;&#35774;&#22791;&#37197;&#32622;&#28165;&#21333;-&#25253;&#20215;&#27169;&#26495;-202011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9640;&#38454;&#27573;\&#26412;&#38050;\&#26412;&#38050;&#22235;&#20919;&#35268;&#21010;\&#26412;&#38050;&#22235;&#20919;1550mm&#35268;&#21010;\&#24037;&#31243;&#32463;&#27982;\My%20Documents\&#24191;&#19996;\&#19981;&#38152;&#38050;&#24037;&#31243;\&#32852;&#20247;&#19981;&#38152;&#38050;\&#24191;&#24030;&#32852;&#20247;&#19981;&#38152;&#38050;&#25237;&#36164;&#20272;&#31639;(&#31532;&#20108;&#29256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9640;&#38454;&#27573;\&#26412;&#38050;\&#26412;&#38050;&#22235;&#20919;&#35268;&#21010;\&#26412;&#38050;&#22235;&#20919;1550mm&#35268;&#21010;\&#24037;&#31243;&#32463;&#27982;\Documents%20and%20Settings\qw.WISDRISH\My%20Documents\&#25105;&#25509;&#25910;&#21040;&#30340;&#25991;&#20214;\&#38050;&#31563;&#35745;&#31639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2658\Documents\WXWork\1688857032373741\Cache\File\2025-10\RecoveredExternalLink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2658\Documents\WXWork\1688857032373741\Cache\File\2025-10\RecoveredExternalLink2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&#39640;&#38454;&#27573;\&#26412;&#38050;\&#26412;&#38050;&#22235;&#20919;&#35268;&#21010;\&#26412;&#38050;&#22235;&#20919;1550mm&#35268;&#21010;\&#24037;&#31243;&#32463;&#27982;\Documents%20and%20Settings\qw.WISDRISH\My%20Documents\&#25105;&#25509;&#25910;&#21040;&#30340;&#25991;&#20214;\&#38050;&#31563;&#35745;&#31639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qpmad2"/>
      <sheetName val="Configuration"/>
      <sheetName val="泵站各参数表"/>
      <sheetName val="阀组分档-基本数据源"/>
      <sheetName val="定额基价"/>
      <sheetName val="SW-TEO"/>
      <sheetName val="有效性"/>
      <sheetName val="P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合同部分"/>
      <sheetName val="变更签证"/>
      <sheetName val="合同外"/>
      <sheetName val="扣供应商金额"/>
      <sheetName val="原合同清单"/>
      <sheetName val="栏杆"/>
      <sheetName val="平台铺板"/>
      <sheetName val="风管"/>
      <sheetName val="通风"/>
      <sheetName val="本体水"/>
      <sheetName val="能介"/>
      <sheetName val="液压"/>
      <sheetName val="润滑"/>
      <sheetName val="气动"/>
      <sheetName val="电气"/>
      <sheetName val="仪表"/>
      <sheetName val="照明"/>
      <sheetName val="铸机盖板"/>
      <sheetName val="004、005"/>
      <sheetName val="水系统CCS31a90.1"/>
      <sheetName val="能介CCS31a90.2"/>
      <sheetName val="液压GES31a90.1"/>
      <sheetName val="润滑GFS31a90.1"/>
      <sheetName val="小房子照明EDU31.2 "/>
      <sheetName val="仪表EEU31a.1"/>
      <sheetName val="电气EDU31a.1 "/>
      <sheetName val="泵站各参数表"/>
      <sheetName val="阀组分档-基本数据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tion"/>
      <sheetName val="CC-Vannes"/>
      <sheetName val="Price Base"/>
      <sheetName val="Instrument table"/>
      <sheetName val="Cable table"/>
      <sheetName val="Cable trays table"/>
      <sheetName val="Scope"/>
      <sheetName val="Price summary"/>
      <sheetName val="I_O Summary"/>
      <sheetName val="Spares"/>
      <sheetName val="Start tools"/>
      <sheetName val="Specific"/>
      <sheetName val="单位库"/>
      <sheetName val="泵站各参数表"/>
      <sheetName val="阀组分档-基本数据源"/>
      <sheetName val="钢筋"/>
      <sheetName val="参数表"/>
      <sheetName val="定额基价"/>
      <sheetName val="PI"/>
      <sheetName val="XLR_NoRangeSheet"/>
      <sheetName val="BEND L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入口液压系统"/>
      <sheetName val="阀组分档-基本数据源"/>
      <sheetName val="入口阀台材料表"/>
      <sheetName val="入口阀台透视表"/>
      <sheetName val="入口阀台材料表整合-过渡"/>
      <sheetName val="泵站各参数表"/>
      <sheetName val="参数表"/>
      <sheetName val="Configuration"/>
      <sheetName val="定额基价"/>
      <sheetName val="POL6차-PIPING"/>
      <sheetName val="P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参数表"/>
      <sheetName val="简单汇总"/>
      <sheetName val="总估算"/>
      <sheetName val="综合估算"/>
      <sheetName val="公辅(综估一期)"/>
      <sheetName val="炼钢(综)"/>
      <sheetName val="连铸(综)"/>
      <sheetName val="热轧(综)"/>
      <sheetName val="冷轧(综)"/>
      <sheetName val="公辅(综)"/>
      <sheetName val="土建"/>
      <sheetName val="炼钢"/>
      <sheetName val="连铸"/>
      <sheetName val="热轧"/>
      <sheetName val="冷轧"/>
      <sheetName val="仪表"/>
      <sheetName val="电讯"/>
      <sheetName val="燃气"/>
      <sheetName val="热力"/>
      <sheetName val="水道"/>
      <sheetName val="通风"/>
      <sheetName val="机械化"/>
      <sheetName val="机修"/>
      <sheetName val="检验"/>
      <sheetName val="电气"/>
      <sheetName val="电力"/>
      <sheetName val="总图"/>
      <sheetName val="Calculs"/>
      <sheetName val="表三"/>
      <sheetName val="钢筋"/>
      <sheetName val="Configuration"/>
      <sheetName val="定额基价"/>
      <sheetName val="PI"/>
      <sheetName val="泵站各参数表"/>
      <sheetName val="阀组分档-基本数据源"/>
      <sheetName val="BEND L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钢筋"/>
      <sheetName val="钢筋计算表"/>
      <sheetName val="通风"/>
      <sheetName val="用汇"/>
      <sheetName val="热力"/>
      <sheetName val="电讯"/>
      <sheetName val="电气"/>
      <sheetName val="包装线初设"/>
      <sheetName val="土公辅标"/>
      <sheetName val="燃气"/>
      <sheetName val="引进分表"/>
      <sheetName val="给排水"/>
      <sheetName val="#REF"/>
      <sheetName val="参数表"/>
      <sheetName val="Configuration"/>
      <sheetName val="定额基价"/>
      <sheetName val="XLR_NoRangeSheet"/>
      <sheetName val="水系统CCS31a90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参数表"/>
      <sheetName val="简单汇总"/>
      <sheetName val="总估算"/>
      <sheetName val="综合估算"/>
      <sheetName val="公辅(综估一期)"/>
      <sheetName val="炼钢(综)"/>
      <sheetName val="连铸(综)"/>
      <sheetName val="热轧(综)"/>
      <sheetName val="冷轧(综)"/>
      <sheetName val="公辅(综)"/>
      <sheetName val="土建"/>
      <sheetName val="炼钢"/>
      <sheetName val="连铸"/>
      <sheetName val="热轧"/>
      <sheetName val="冷轧"/>
      <sheetName val="仪表"/>
      <sheetName val="电讯"/>
      <sheetName val="燃气"/>
      <sheetName val="热力"/>
      <sheetName val="水道"/>
      <sheetName val="通风"/>
      <sheetName val="机械化"/>
      <sheetName val="机修"/>
      <sheetName val="检验"/>
      <sheetName val="电气"/>
      <sheetName val="电力"/>
      <sheetName val="总图"/>
      <sheetName val="Calculs"/>
      <sheetName val="表三"/>
      <sheetName val="钢筋"/>
      <sheetName val="Configuration"/>
      <sheetName val="单位"/>
      <sheetName val="PI"/>
      <sheetName val="定额基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钢筋"/>
      <sheetName val="钢筋计算表"/>
      <sheetName val="通风"/>
      <sheetName val="用汇"/>
      <sheetName val="热力"/>
      <sheetName val="电讯"/>
      <sheetName val="电气"/>
      <sheetName val="包装线初设"/>
      <sheetName val="土公辅标"/>
      <sheetName val="燃气"/>
      <sheetName val="引进分表"/>
      <sheetName val="给排水"/>
      <sheetName val="#REF"/>
      <sheetName val="参数表"/>
      <sheetName val="Configuration"/>
      <sheetName val="单位"/>
      <sheetName val="定额基价"/>
      <sheetName val="BEND LOSS"/>
      <sheetName val="水系统CCS31a90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钢筋"/>
      <sheetName val="钢筋计算表"/>
      <sheetName val="通风"/>
      <sheetName val="用汇"/>
      <sheetName val="热力"/>
      <sheetName val="电讯"/>
      <sheetName val="电气"/>
      <sheetName val="包装线初设"/>
      <sheetName val="土公辅标"/>
      <sheetName val="燃气"/>
      <sheetName val="引进分表"/>
      <sheetName val="给排水"/>
      <sheetName val="#REF"/>
      <sheetName val="参数表"/>
      <sheetName val="Configuration"/>
      <sheetName val="定额基价"/>
      <sheetName val="XLR_NoRangeSheet"/>
      <sheetName val="水系统CCS31a90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topLeftCell="A8" workbookViewId="0">
      <selection activeCell="E27" sqref="E27"/>
    </sheetView>
  </sheetViews>
  <sheetFormatPr defaultColWidth="10" defaultRowHeight="15"/>
  <cols>
    <col min="1" max="1" width="5" style="165" customWidth="1"/>
    <col min="2" max="2" width="12.6666666666667" style="165" customWidth="1"/>
    <col min="3" max="3" width="19" style="165" customWidth="1"/>
    <col min="4" max="4" width="12.4416666666667" style="165" customWidth="1"/>
    <col min="5" max="6" width="11.775" style="165" customWidth="1"/>
    <col min="7" max="7" width="7.775" style="165" customWidth="1"/>
    <col min="8" max="8" width="13" style="165" customWidth="1"/>
    <col min="9" max="9" width="12.6333333333333" style="165" customWidth="1"/>
    <col min="10" max="10" width="14.8833333333333" style="165" customWidth="1"/>
  </cols>
  <sheetData>
    <row r="1" ht="31.5" customHeight="1" spans="1:10">
      <c r="A1" s="166" t="s">
        <v>0</v>
      </c>
      <c r="B1" s="166"/>
      <c r="C1" s="166"/>
      <c r="D1" s="166"/>
      <c r="E1" s="166"/>
      <c r="F1" s="166"/>
      <c r="G1" s="166"/>
    </row>
    <row r="2" ht="21" customHeight="1" spans="1:10">
      <c r="A2" s="167" t="s">
        <v>1</v>
      </c>
      <c r="B2" s="167" t="s">
        <v>2</v>
      </c>
      <c r="C2" s="167" t="s">
        <v>3</v>
      </c>
      <c r="D2" s="167" t="s">
        <v>4</v>
      </c>
      <c r="E2" s="168" t="s">
        <v>5</v>
      </c>
      <c r="F2" s="168" t="s">
        <v>6</v>
      </c>
      <c r="G2" s="167" t="s">
        <v>7</v>
      </c>
      <c r="H2" s="169"/>
      <c r="I2" s="169"/>
      <c r="J2" s="169"/>
    </row>
    <row r="3" ht="21" customHeight="1" spans="1:10">
      <c r="A3" s="170"/>
      <c r="B3" s="170"/>
      <c r="C3" s="171" t="s">
        <v>8</v>
      </c>
      <c r="D3" s="172"/>
      <c r="E3" s="172"/>
      <c r="F3" s="172"/>
      <c r="G3" s="167"/>
    </row>
    <row r="4" ht="21" customHeight="1" spans="1:10">
      <c r="A4" s="170">
        <v>1</v>
      </c>
      <c r="B4" s="173" t="s">
        <v>9</v>
      </c>
      <c r="C4" s="174" t="s">
        <v>10</v>
      </c>
      <c r="D4" s="172">
        <f>表2清单!L4</f>
        <v>12046412.5504183</v>
      </c>
      <c r="E4" s="172">
        <f>表2清单!M4</f>
        <v>5484873.58</v>
      </c>
      <c r="F4" s="172">
        <f>表2清单!N4</f>
        <v>2951567.74</v>
      </c>
      <c r="G4" s="167"/>
    </row>
    <row r="5" ht="21" customHeight="1" spans="1:10">
      <c r="A5" s="175"/>
      <c r="B5" s="176"/>
      <c r="C5" s="174" t="s">
        <v>11</v>
      </c>
      <c r="D5" s="172">
        <f>表2清单!L69</f>
        <v>369840.316300885</v>
      </c>
      <c r="E5" s="172">
        <f>表2清单!M69</f>
        <v>75000</v>
      </c>
      <c r="F5" s="172">
        <f>表2清单!N69</f>
        <v>206460</v>
      </c>
      <c r="G5" s="167"/>
    </row>
    <row r="6" ht="21" customHeight="1" spans="1:10">
      <c r="A6" s="175"/>
      <c r="B6" s="176"/>
      <c r="C6" s="174" t="s">
        <v>12</v>
      </c>
      <c r="D6" s="172">
        <f>表2清单!L112</f>
        <v>110182.416829646</v>
      </c>
      <c r="E6" s="172">
        <f>表2清单!M112</f>
        <v>54750</v>
      </c>
      <c r="F6" s="172">
        <f>表2清单!N112</f>
        <v>35340</v>
      </c>
      <c r="G6" s="167"/>
    </row>
    <row r="7" ht="21" customHeight="1" spans="1:10">
      <c r="A7" s="175"/>
      <c r="B7" s="176"/>
      <c r="C7" s="174" t="s">
        <v>13</v>
      </c>
      <c r="D7" s="172">
        <f>表2清单!L126</f>
        <v>27766.4743141593</v>
      </c>
      <c r="E7" s="172">
        <f>表2清单!M126</f>
        <v>13500</v>
      </c>
      <c r="F7" s="172">
        <f>表2清单!N126</f>
        <v>9100</v>
      </c>
      <c r="G7" s="167"/>
    </row>
    <row r="8" ht="21" customHeight="1" spans="1:10">
      <c r="A8" s="175"/>
      <c r="B8" s="176"/>
      <c r="C8" s="174" t="s">
        <v>14</v>
      </c>
      <c r="D8" s="172">
        <f>表2清单!L135</f>
        <v>225284.449261062</v>
      </c>
      <c r="E8" s="172">
        <f>表2清单!M135</f>
        <v>121188</v>
      </c>
      <c r="F8" s="172">
        <f>表2清单!N135</f>
        <v>53648</v>
      </c>
      <c r="G8" s="167"/>
    </row>
    <row r="9" ht="21" customHeight="1" spans="1:10">
      <c r="A9" s="175"/>
      <c r="B9" s="176"/>
      <c r="C9" s="174" t="s">
        <v>15</v>
      </c>
      <c r="D9" s="172">
        <f>表2清单!L147</f>
        <v>668609.477389381</v>
      </c>
      <c r="E9" s="172">
        <f>表2清单!M147</f>
        <v>263900</v>
      </c>
      <c r="F9" s="172">
        <f>表2清单!N147</f>
        <v>219100</v>
      </c>
      <c r="G9" s="167"/>
    </row>
    <row r="10" ht="21" customHeight="1" spans="1:10">
      <c r="A10" s="175"/>
      <c r="B10" s="176"/>
      <c r="C10" s="174" t="s">
        <v>16</v>
      </c>
      <c r="D10" s="172">
        <f>表2清单!L162</f>
        <v>1074099.98727875</v>
      </c>
      <c r="E10" s="172">
        <f>表2清单!M162</f>
        <v>309873</v>
      </c>
      <c r="F10" s="172">
        <f>表2清单!N162</f>
        <v>479773</v>
      </c>
      <c r="G10" s="167"/>
    </row>
    <row r="11" ht="21" customHeight="1" spans="1:10">
      <c r="A11" s="175"/>
      <c r="B11" s="176"/>
      <c r="C11" s="174" t="s">
        <v>17</v>
      </c>
      <c r="D11" s="172">
        <f>表2清单!L257</f>
        <v>142603.455282301</v>
      </c>
      <c r="E11" s="172">
        <f>表2清单!M257</f>
        <v>30585</v>
      </c>
      <c r="F11" s="172">
        <f>表2清单!N257</f>
        <v>76950</v>
      </c>
      <c r="G11" s="167"/>
    </row>
    <row r="12" ht="21" customHeight="1" spans="1:10">
      <c r="A12" s="175"/>
      <c r="B12" s="176"/>
      <c r="C12" s="174" t="s">
        <v>18</v>
      </c>
      <c r="D12" s="172">
        <f>表2清单!L267</f>
        <v>93942.6294325221</v>
      </c>
      <c r="E12" s="172">
        <f>表2清单!M267</f>
        <v>11088</v>
      </c>
      <c r="F12" s="172">
        <f>表2清单!N267</f>
        <v>59565</v>
      </c>
      <c r="G12" s="167"/>
    </row>
    <row r="13" ht="21" customHeight="1" spans="1:10">
      <c r="A13" s="175"/>
      <c r="B13" s="176"/>
      <c r="C13" s="174" t="s">
        <v>19</v>
      </c>
      <c r="D13" s="172">
        <f>表2清单!L300</f>
        <v>28643.657119469</v>
      </c>
      <c r="E13" s="172">
        <f>表2清单!M300</f>
        <v>200</v>
      </c>
      <c r="F13" s="172">
        <f>表2清单!N300</f>
        <v>20880</v>
      </c>
      <c r="G13" s="167"/>
    </row>
    <row r="14" ht="21" customHeight="1" spans="1:10">
      <c r="A14" s="175"/>
      <c r="B14" s="176"/>
      <c r="C14" s="174" t="s">
        <v>20</v>
      </c>
      <c r="D14" s="172">
        <f>表2清单!L320</f>
        <v>30869.7542443584</v>
      </c>
      <c r="E14" s="172">
        <f>表2清单!M320</f>
        <v>6317.3</v>
      </c>
      <c r="F14" s="172">
        <f>表2清单!N320</f>
        <v>17573.4</v>
      </c>
      <c r="G14" s="167"/>
    </row>
    <row r="15" ht="21" customHeight="1" spans="1:10">
      <c r="A15" s="175"/>
      <c r="B15" s="176"/>
      <c r="C15" s="174" t="s">
        <v>21</v>
      </c>
      <c r="D15" s="172">
        <f>表2清单!L338</f>
        <v>19043.1904115469</v>
      </c>
      <c r="E15" s="172">
        <f>表2清单!M338</f>
        <v>1602</v>
      </c>
      <c r="F15" s="172">
        <f>表2清单!N338</f>
        <v>13124</v>
      </c>
      <c r="G15" s="167"/>
    </row>
    <row r="16" ht="21" customHeight="1" spans="1:10">
      <c r="A16" s="175"/>
      <c r="B16" s="176"/>
      <c r="C16" s="174" t="s">
        <v>22</v>
      </c>
      <c r="D16" s="172">
        <f>表2清单!L356</f>
        <v>219302.282535221</v>
      </c>
      <c r="E16" s="172">
        <f>表2清单!M356</f>
        <v>25756</v>
      </c>
      <c r="F16" s="172">
        <f>表2清单!N356</f>
        <v>136668</v>
      </c>
      <c r="G16" s="167"/>
    </row>
    <row r="17" ht="21" customHeight="1" spans="1:11">
      <c r="A17" s="175"/>
      <c r="B17" s="176"/>
      <c r="C17" s="174" t="s">
        <v>23</v>
      </c>
      <c r="D17" s="172">
        <f>表2清单!L377</f>
        <v>1574693.82477062</v>
      </c>
      <c r="E17" s="172">
        <f>表2清单!M377</f>
        <v>137741.062</v>
      </c>
      <c r="F17" s="172">
        <f>表2清单!N377</f>
        <v>205050</v>
      </c>
      <c r="G17" s="167"/>
    </row>
    <row r="18" ht="21" customHeight="1" spans="1:11">
      <c r="A18" s="175"/>
      <c r="B18" s="176"/>
      <c r="C18" s="174" t="s">
        <v>24</v>
      </c>
      <c r="D18" s="172">
        <f>表2清单!L389</f>
        <v>1811417.2537842</v>
      </c>
      <c r="E18" s="172">
        <f>表2清单!M389</f>
        <v>1626</v>
      </c>
      <c r="F18" s="172">
        <f>表2清单!N389</f>
        <v>960817.37</v>
      </c>
      <c r="G18" s="167"/>
    </row>
    <row r="19" ht="21" customHeight="1" spans="1:11">
      <c r="A19" s="175"/>
      <c r="B19" s="176"/>
      <c r="C19" s="174" t="s">
        <v>25</v>
      </c>
      <c r="D19" s="172">
        <f>表2清单!L447</f>
        <v>25288</v>
      </c>
      <c r="E19" s="172">
        <f>表2清单!M447</f>
        <v>0</v>
      </c>
      <c r="F19" s="172">
        <f>表2清单!N447</f>
        <v>20000</v>
      </c>
      <c r="G19" s="167"/>
    </row>
    <row r="20" ht="21" customHeight="1" spans="1:11">
      <c r="A20" s="175"/>
      <c r="B20" s="176"/>
      <c r="C20" s="177" t="s">
        <v>26</v>
      </c>
      <c r="D20" s="172">
        <f>SUM(D4:D19)</f>
        <v>18467999.7193724</v>
      </c>
      <c r="E20" s="172">
        <f>SUM(E4:E19)</f>
        <v>6537999.942</v>
      </c>
      <c r="F20" s="172">
        <f>SUM(F4:F19)</f>
        <v>5465616.51</v>
      </c>
      <c r="G20" s="167"/>
      <c r="H20" s="169"/>
      <c r="I20" s="169"/>
      <c r="J20" s="169"/>
    </row>
    <row r="21" ht="21" customHeight="1" spans="1:11">
      <c r="A21" s="175"/>
      <c r="B21" s="176"/>
      <c r="C21" s="171" t="s">
        <v>27</v>
      </c>
      <c r="D21" s="172">
        <f>D20*0.0675</f>
        <v>1246589.98105764</v>
      </c>
      <c r="E21" s="172"/>
      <c r="F21" s="172"/>
      <c r="G21" s="167"/>
    </row>
    <row r="22" ht="21" customHeight="1" spans="1:11">
      <c r="A22" s="175"/>
      <c r="B22" s="176"/>
      <c r="C22" s="171"/>
      <c r="D22" s="172"/>
      <c r="E22" s="172"/>
      <c r="F22" s="172"/>
      <c r="G22" s="167"/>
    </row>
    <row r="23" ht="21" customHeight="1" spans="1:11">
      <c r="A23" s="175"/>
      <c r="B23" s="176"/>
      <c r="C23" s="171" t="s">
        <v>28</v>
      </c>
      <c r="D23" s="172"/>
      <c r="E23" s="172"/>
      <c r="F23" s="172"/>
      <c r="G23" s="167"/>
    </row>
    <row r="24" ht="21" customHeight="1" spans="1:11">
      <c r="A24" s="175"/>
      <c r="B24" s="176"/>
      <c r="C24" s="177"/>
      <c r="D24" s="172"/>
      <c r="E24" s="172"/>
      <c r="F24" s="172"/>
      <c r="G24" s="167"/>
    </row>
    <row r="25" ht="21" customHeight="1" spans="1:11">
      <c r="A25" s="175"/>
      <c r="B25" s="176"/>
      <c r="C25" s="171"/>
      <c r="D25" s="172"/>
      <c r="E25" s="172"/>
      <c r="F25" s="172"/>
      <c r="G25" s="167"/>
    </row>
    <row r="26" ht="21" customHeight="1" spans="1:11">
      <c r="A26" s="175"/>
      <c r="B26" s="176"/>
      <c r="C26" s="171"/>
      <c r="D26" s="172"/>
      <c r="E26" s="172"/>
      <c r="F26" s="172"/>
      <c r="G26" s="167"/>
    </row>
    <row r="27" ht="21" customHeight="1" spans="1:11">
      <c r="A27" s="178"/>
      <c r="B27" s="179"/>
      <c r="C27" s="180" t="s">
        <v>29</v>
      </c>
      <c r="D27" s="172">
        <f>D20+D23</f>
        <v>18467999.7193724</v>
      </c>
      <c r="E27" s="172">
        <f>E20+E23</f>
        <v>6537999.942</v>
      </c>
      <c r="F27" s="172">
        <f>F20+F23</f>
        <v>5465616.51</v>
      </c>
      <c r="G27" s="167"/>
    </row>
    <row r="28" s="43" customFormat="1" ht="20.25" customHeight="1" spans="1:11">
      <c r="A28" s="181" t="s">
        <v>30</v>
      </c>
      <c r="B28" s="181"/>
      <c r="C28" s="182">
        <f>ROUND(D27,0)</f>
        <v>18468000</v>
      </c>
      <c r="D28" s="182"/>
      <c r="E28" s="182"/>
      <c r="F28" s="183"/>
      <c r="G28" s="183"/>
      <c r="H28" s="183"/>
      <c r="I28" s="184"/>
      <c r="J28" s="184"/>
      <c r="K28" s="185"/>
    </row>
    <row r="29" s="43" customFormat="1" ht="12" customHeight="1" spans="1:11">
      <c r="A29" s="186"/>
      <c r="B29" s="186"/>
      <c r="C29" s="186"/>
      <c r="D29" s="186"/>
      <c r="E29" s="186"/>
      <c r="F29" s="186"/>
      <c r="G29" s="186"/>
      <c r="H29" s="186"/>
      <c r="I29" s="184"/>
      <c r="J29" s="184"/>
      <c r="K29" s="187"/>
    </row>
    <row r="30" s="43" customFormat="1" ht="20.25" customHeight="1" spans="1:11">
      <c r="A30" s="183" t="s">
        <v>31</v>
      </c>
      <c r="B30" s="183"/>
      <c r="C30" s="183"/>
      <c r="D30" s="183"/>
      <c r="E30" s="183"/>
      <c r="F30" s="183"/>
      <c r="G30" s="183"/>
      <c r="H30" s="183"/>
      <c r="I30" s="184"/>
      <c r="J30" s="184"/>
      <c r="K30" s="187"/>
    </row>
    <row r="31" s="43" customFormat="1" ht="14.25" customHeight="1" spans="1:11">
      <c r="A31" s="188"/>
      <c r="B31" s="188"/>
      <c r="C31" s="188"/>
      <c r="D31" s="188"/>
      <c r="E31" s="188"/>
      <c r="F31" s="188"/>
      <c r="G31" s="188"/>
      <c r="H31" s="188"/>
      <c r="I31" s="189"/>
      <c r="J31" s="184"/>
      <c r="K31" s="187"/>
    </row>
    <row r="32" s="43" customFormat="1" ht="20.25" customHeight="1" spans="1:11">
      <c r="A32" s="183" t="s">
        <v>32</v>
      </c>
      <c r="B32" s="183"/>
      <c r="C32" s="183"/>
      <c r="D32" s="183"/>
      <c r="E32" s="183"/>
      <c r="F32" s="183"/>
      <c r="G32" s="183"/>
      <c r="H32" s="183"/>
      <c r="I32" s="189"/>
      <c r="J32" s="184"/>
      <c r="K32" s="187"/>
    </row>
    <row r="33" s="43" customFormat="1" ht="12" customHeight="1" spans="1:11">
      <c r="A33" s="188"/>
      <c r="B33" s="188"/>
      <c r="C33" s="188"/>
      <c r="D33" s="188"/>
      <c r="E33" s="188"/>
      <c r="F33" s="188"/>
      <c r="G33" s="188"/>
      <c r="H33" s="188"/>
      <c r="I33" s="184"/>
      <c r="J33" s="184"/>
      <c r="K33" s="187"/>
    </row>
    <row r="34" s="43" customFormat="1" ht="13.5" customHeight="1" spans="1:11">
      <c r="A34" s="183" t="s">
        <v>33</v>
      </c>
      <c r="B34" s="183"/>
      <c r="C34" s="183"/>
      <c r="D34" s="183"/>
      <c r="E34" s="183"/>
      <c r="F34" s="183"/>
      <c r="G34" s="183"/>
      <c r="H34" s="183"/>
      <c r="I34" s="184"/>
      <c r="J34" s="184"/>
      <c r="K34" s="187"/>
    </row>
    <row r="35" s="43" customFormat="1" spans="1:11">
      <c r="A35" s="186"/>
      <c r="B35" s="186"/>
      <c r="C35" s="186"/>
      <c r="D35" s="186"/>
      <c r="E35" s="186"/>
      <c r="F35" s="186"/>
      <c r="G35" s="186"/>
      <c r="H35" s="186"/>
      <c r="I35" s="184"/>
      <c r="J35" s="184"/>
      <c r="K35" s="187"/>
    </row>
    <row r="36" s="43" customFormat="1" spans="1:11">
      <c r="A36" s="186"/>
      <c r="B36" s="186"/>
      <c r="C36" s="186"/>
      <c r="D36" s="186"/>
      <c r="E36" s="186"/>
      <c r="F36" s="186"/>
      <c r="G36" s="186"/>
      <c r="H36" s="186"/>
      <c r="I36" s="184"/>
      <c r="J36" s="184"/>
      <c r="K36" s="187"/>
    </row>
    <row r="37" s="43" customFormat="1" spans="1:11">
      <c r="A37" s="186"/>
      <c r="B37" s="186"/>
      <c r="C37" s="186"/>
      <c r="D37" s="186"/>
      <c r="E37" s="186"/>
      <c r="F37" s="186"/>
      <c r="G37" s="186"/>
      <c r="H37" s="186"/>
      <c r="I37" s="184"/>
      <c r="J37" s="184"/>
      <c r="K37" s="187"/>
    </row>
  </sheetData>
  <mergeCells count="8">
    <mergeCell ref="A1:G1"/>
    <mergeCell ref="A28:B28"/>
    <mergeCell ref="C28:D28"/>
    <mergeCell ref="A30:H30"/>
    <mergeCell ref="A32:H32"/>
    <mergeCell ref="A34:H34"/>
    <mergeCell ref="A4:A27"/>
    <mergeCell ref="B4:B27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8"/>
  <sheetViews>
    <sheetView showZeros="0" zoomScaleSheetLayoutView="80" workbookViewId="0">
      <pane ySplit="3" topLeftCell="A441" activePane="bottomLeft" state="frozenSplit"/>
      <selection/>
      <selection pane="bottomLeft" activeCell="N448" sqref="N448"/>
    </sheetView>
  </sheetViews>
  <sheetFormatPr defaultColWidth="8.88333333333333" defaultRowHeight="12.75"/>
  <cols>
    <col min="1" max="1" width="4.63333333333333" style="97" customWidth="1"/>
    <col min="2" max="2" width="7.03333333333333" style="97" customWidth="1"/>
    <col min="3" max="3" width="15.75" style="98" customWidth="1"/>
    <col min="4" max="4" width="13.875" style="99" customWidth="1"/>
    <col min="5" max="5" width="7.03333333333333" style="97" customWidth="1"/>
    <col min="6" max="6" width="8.51666666666667" style="100" customWidth="1"/>
    <col min="7" max="8" width="5.375" style="100" customWidth="1"/>
    <col min="9" max="9" width="10.5" style="101" customWidth="1"/>
    <col min="10" max="10" width="8.89166666666667" style="101" customWidth="1"/>
    <col min="11" max="12" width="11.5" style="101" customWidth="1"/>
    <col min="13" max="13" width="10.5" style="101" customWidth="1"/>
    <col min="14" max="14" width="9.99166666666667" style="101" customWidth="1"/>
    <col min="15" max="15" width="5.23333333333333" style="95" customWidth="1"/>
    <col min="16" max="16" width="31.9083333333333" style="102" customWidth="1"/>
    <col min="17" max="16384" width="8.88333333333333" style="95"/>
  </cols>
  <sheetData>
    <row r="1" ht="22" customHeight="1" spans="1:16">
      <c r="A1" s="103" t="s">
        <v>34</v>
      </c>
      <c r="B1" s="104" t="s">
        <v>35</v>
      </c>
      <c r="C1" s="105" t="s">
        <v>36</v>
      </c>
      <c r="D1" s="105" t="s">
        <v>37</v>
      </c>
      <c r="E1" s="104" t="s">
        <v>38</v>
      </c>
      <c r="F1" s="106" t="s">
        <v>39</v>
      </c>
      <c r="G1" s="106" t="s">
        <v>40</v>
      </c>
      <c r="H1" s="106"/>
      <c r="I1" s="107" t="s">
        <v>41</v>
      </c>
      <c r="J1" s="107"/>
      <c r="K1" s="107"/>
      <c r="L1" s="107" t="s">
        <v>42</v>
      </c>
      <c r="M1" s="107"/>
      <c r="N1" s="107"/>
      <c r="O1" s="108" t="s">
        <v>43</v>
      </c>
      <c r="P1" s="109" t="s">
        <v>44</v>
      </c>
    </row>
    <row r="2" ht="22" customHeight="1" spans="1:16">
      <c r="A2" s="103"/>
      <c r="B2" s="104"/>
      <c r="C2" s="105"/>
      <c r="D2" s="105"/>
      <c r="E2" s="104"/>
      <c r="F2" s="104"/>
      <c r="G2" s="106" t="s">
        <v>45</v>
      </c>
      <c r="H2" s="106" t="s">
        <v>46</v>
      </c>
      <c r="I2" s="107" t="s">
        <v>47</v>
      </c>
      <c r="J2" s="110" t="s">
        <v>48</v>
      </c>
      <c r="K2" s="110"/>
      <c r="L2" s="107" t="s">
        <v>49</v>
      </c>
      <c r="M2" s="110" t="s">
        <v>48</v>
      </c>
      <c r="N2" s="110"/>
      <c r="O2" s="108"/>
      <c r="P2" s="109"/>
    </row>
    <row r="3" ht="22" customHeight="1" spans="1:16">
      <c r="A3" s="103"/>
      <c r="B3" s="104"/>
      <c r="C3" s="105"/>
      <c r="D3" s="105"/>
      <c r="E3" s="104"/>
      <c r="F3" s="104"/>
      <c r="G3" s="106"/>
      <c r="H3" s="106"/>
      <c r="I3" s="107"/>
      <c r="J3" s="107" t="s">
        <v>50</v>
      </c>
      <c r="K3" s="107" t="s">
        <v>51</v>
      </c>
      <c r="L3" s="107"/>
      <c r="M3" s="107" t="s">
        <v>52</v>
      </c>
      <c r="N3" s="107" t="s">
        <v>53</v>
      </c>
      <c r="O3" s="108"/>
      <c r="P3" s="109"/>
    </row>
    <row r="4" ht="22" customHeight="1" spans="1:16">
      <c r="A4" s="104">
        <f>ROW()-4</f>
        <v>0</v>
      </c>
      <c r="B4" s="104">
        <v>1</v>
      </c>
      <c r="C4" s="111" t="s">
        <v>54</v>
      </c>
      <c r="D4" s="111"/>
      <c r="E4" s="104"/>
      <c r="F4" s="104"/>
      <c r="G4" s="106"/>
      <c r="H4" s="106"/>
      <c r="I4" s="107"/>
      <c r="J4" s="107"/>
      <c r="K4" s="107"/>
      <c r="L4" s="107">
        <f>SUM(L5:L68)</f>
        <v>12046412.5504183</v>
      </c>
      <c r="M4" s="107">
        <f>SUM(M5:M68)</f>
        <v>5484873.58</v>
      </c>
      <c r="N4" s="107">
        <f>SUM(N5:N68)</f>
        <v>2951567.74</v>
      </c>
      <c r="O4" s="108"/>
      <c r="P4" s="112"/>
    </row>
    <row r="5" ht="22" customHeight="1" spans="1:16">
      <c r="A5" s="104">
        <v>1</v>
      </c>
      <c r="B5" s="104">
        <v>1.1</v>
      </c>
      <c r="C5" s="111" t="s">
        <v>55</v>
      </c>
      <c r="D5" s="111"/>
      <c r="E5" s="104"/>
      <c r="F5" s="104"/>
      <c r="G5" s="106"/>
      <c r="H5" s="106"/>
      <c r="I5" s="107"/>
      <c r="J5" s="107"/>
      <c r="K5" s="107"/>
      <c r="L5" s="107"/>
      <c r="M5" s="107"/>
      <c r="N5" s="107"/>
      <c r="O5" s="108"/>
      <c r="P5" s="112"/>
    </row>
    <row r="6" ht="105" customHeight="1" spans="1:16">
      <c r="A6" s="104">
        <v>2</v>
      </c>
      <c r="B6" s="104" t="s">
        <v>56</v>
      </c>
      <c r="C6" s="111" t="s">
        <v>57</v>
      </c>
      <c r="D6" s="111" t="s">
        <v>58</v>
      </c>
      <c r="E6" s="113" t="s">
        <v>59</v>
      </c>
      <c r="F6" s="106">
        <v>120</v>
      </c>
      <c r="G6" s="106"/>
      <c r="H6" s="106"/>
      <c r="I6" s="107">
        <v>794.40165180531</v>
      </c>
      <c r="J6" s="107">
        <v>260</v>
      </c>
      <c r="K6" s="107">
        <v>192.5</v>
      </c>
      <c r="L6" s="107">
        <f>F6*I6</f>
        <v>95328.1982166372</v>
      </c>
      <c r="M6" s="107">
        <f>F6*J6</f>
        <v>31200</v>
      </c>
      <c r="N6" s="107">
        <f>F6*K6</f>
        <v>23100</v>
      </c>
      <c r="O6" s="114"/>
      <c r="P6" s="112" t="s">
        <v>60</v>
      </c>
    </row>
    <row r="7" ht="39" customHeight="1" spans="1:16">
      <c r="A7" s="104">
        <v>3</v>
      </c>
      <c r="B7" s="104" t="s">
        <v>61</v>
      </c>
      <c r="C7" s="115" t="s">
        <v>62</v>
      </c>
      <c r="D7" s="111" t="s">
        <v>63</v>
      </c>
      <c r="E7" s="116" t="s">
        <v>64</v>
      </c>
      <c r="F7" s="106">
        <v>9</v>
      </c>
      <c r="G7" s="106"/>
      <c r="H7" s="106"/>
      <c r="I7" s="107">
        <v>5361.39168141593</v>
      </c>
      <c r="J7" s="107">
        <v>3500</v>
      </c>
      <c r="K7" s="107">
        <v>900</v>
      </c>
      <c r="L7" s="107">
        <f t="shared" ref="L7:L70" si="0">F7*I7</f>
        <v>48252.5251327434</v>
      </c>
      <c r="M7" s="107">
        <f t="shared" ref="M7:M70" si="1">F7*J7</f>
        <v>31500</v>
      </c>
      <c r="N7" s="107">
        <f t="shared" ref="N7:N70" si="2">F7*K7</f>
        <v>8100</v>
      </c>
      <c r="O7" s="114"/>
      <c r="P7" s="112" t="s">
        <v>65</v>
      </c>
    </row>
    <row r="8" ht="62" customHeight="1" spans="1:16">
      <c r="A8" s="104">
        <v>4</v>
      </c>
      <c r="B8" s="104" t="s">
        <v>66</v>
      </c>
      <c r="C8" s="115" t="s">
        <v>67</v>
      </c>
      <c r="D8" s="111" t="s">
        <v>63</v>
      </c>
      <c r="E8" s="116" t="s">
        <v>64</v>
      </c>
      <c r="F8" s="106">
        <v>209</v>
      </c>
      <c r="G8" s="106"/>
      <c r="H8" s="106"/>
      <c r="I8" s="107">
        <v>7551.57864778761</v>
      </c>
      <c r="J8" s="107">
        <v>3910</v>
      </c>
      <c r="K8" s="107">
        <v>2150</v>
      </c>
      <c r="L8" s="107">
        <f t="shared" si="0"/>
        <v>1578279.93738761</v>
      </c>
      <c r="M8" s="107">
        <f t="shared" si="1"/>
        <v>817190</v>
      </c>
      <c r="N8" s="107">
        <f t="shared" si="2"/>
        <v>449350</v>
      </c>
      <c r="O8" s="114"/>
      <c r="P8" s="112" t="s">
        <v>68</v>
      </c>
    </row>
    <row r="9" ht="53" customHeight="1" spans="1:16">
      <c r="A9" s="104">
        <v>5</v>
      </c>
      <c r="B9" s="104" t="s">
        <v>69</v>
      </c>
      <c r="C9" s="117" t="s">
        <v>70</v>
      </c>
      <c r="D9" s="117" t="s">
        <v>71</v>
      </c>
      <c r="E9" s="118" t="s">
        <v>72</v>
      </c>
      <c r="F9" s="106">
        <v>1536</v>
      </c>
      <c r="G9" s="106"/>
      <c r="H9" s="106"/>
      <c r="I9" s="107">
        <v>127.021847787611</v>
      </c>
      <c r="J9" s="107">
        <v>72</v>
      </c>
      <c r="K9" s="107">
        <v>22</v>
      </c>
      <c r="L9" s="107">
        <f t="shared" si="0"/>
        <v>195105.55820177</v>
      </c>
      <c r="M9" s="107">
        <f t="shared" si="1"/>
        <v>110592</v>
      </c>
      <c r="N9" s="107">
        <f t="shared" si="2"/>
        <v>33792</v>
      </c>
      <c r="O9" s="108"/>
      <c r="P9" s="112" t="s">
        <v>73</v>
      </c>
    </row>
    <row r="10" ht="22" customHeight="1" spans="1:16">
      <c r="A10" s="104">
        <v>6</v>
      </c>
      <c r="B10" s="104" t="s">
        <v>74</v>
      </c>
      <c r="C10" s="117" t="s">
        <v>75</v>
      </c>
      <c r="D10" s="117" t="s">
        <v>76</v>
      </c>
      <c r="E10" s="118" t="s">
        <v>72</v>
      </c>
      <c r="F10" s="106">
        <v>22.32</v>
      </c>
      <c r="G10" s="106"/>
      <c r="H10" s="106"/>
      <c r="I10" s="107">
        <v>115.608679646018</v>
      </c>
      <c r="J10" s="107">
        <v>63.5</v>
      </c>
      <c r="K10" s="107">
        <v>22</v>
      </c>
      <c r="L10" s="107">
        <f t="shared" si="0"/>
        <v>2580.38572969912</v>
      </c>
      <c r="M10" s="107">
        <f t="shared" si="1"/>
        <v>1417.32</v>
      </c>
      <c r="N10" s="107">
        <f t="shared" si="2"/>
        <v>491.04</v>
      </c>
      <c r="O10" s="108"/>
      <c r="P10" s="112" t="s">
        <v>77</v>
      </c>
    </row>
    <row r="11" ht="22" customHeight="1" spans="1:16">
      <c r="A11" s="104">
        <v>7</v>
      </c>
      <c r="B11" s="104" t="s">
        <v>78</v>
      </c>
      <c r="C11" s="111" t="s">
        <v>79</v>
      </c>
      <c r="D11" s="111" t="s">
        <v>80</v>
      </c>
      <c r="E11" s="118" t="s">
        <v>72</v>
      </c>
      <c r="F11" s="106">
        <v>3410</v>
      </c>
      <c r="G11" s="106"/>
      <c r="H11" s="106"/>
      <c r="I11" s="107">
        <v>98.1532460176991</v>
      </c>
      <c r="J11" s="107">
        <v>50.5</v>
      </c>
      <c r="K11" s="107">
        <v>22</v>
      </c>
      <c r="L11" s="107">
        <f t="shared" si="0"/>
        <v>334702.568920354</v>
      </c>
      <c r="M11" s="107">
        <f t="shared" si="1"/>
        <v>172205</v>
      </c>
      <c r="N11" s="107">
        <f t="shared" si="2"/>
        <v>75020</v>
      </c>
      <c r="O11" s="108"/>
      <c r="P11" s="112" t="s">
        <v>77</v>
      </c>
    </row>
    <row r="12" ht="33" customHeight="1" spans="1:16">
      <c r="A12" s="104">
        <v>8</v>
      </c>
      <c r="B12" s="104" t="s">
        <v>81</v>
      </c>
      <c r="C12" s="111" t="s">
        <v>82</v>
      </c>
      <c r="D12" s="111" t="s">
        <v>83</v>
      </c>
      <c r="E12" s="118" t="s">
        <v>72</v>
      </c>
      <c r="F12" s="106">
        <v>420</v>
      </c>
      <c r="G12" s="106"/>
      <c r="H12" s="106"/>
      <c r="I12" s="107">
        <v>57.2001132743363</v>
      </c>
      <c r="J12" s="107">
        <v>20</v>
      </c>
      <c r="K12" s="107">
        <v>22</v>
      </c>
      <c r="L12" s="107">
        <f t="shared" si="0"/>
        <v>24024.0475752212</v>
      </c>
      <c r="M12" s="107">
        <f t="shared" si="1"/>
        <v>8400</v>
      </c>
      <c r="N12" s="107">
        <f t="shared" si="2"/>
        <v>9240</v>
      </c>
      <c r="O12" s="108"/>
      <c r="P12" s="112" t="s">
        <v>77</v>
      </c>
    </row>
    <row r="13" ht="48" customHeight="1" spans="1:16">
      <c r="A13" s="104">
        <v>9</v>
      </c>
      <c r="B13" s="104" t="s">
        <v>84</v>
      </c>
      <c r="C13" s="111" t="s">
        <v>85</v>
      </c>
      <c r="D13" s="111" t="s">
        <v>86</v>
      </c>
      <c r="E13" s="118" t="s">
        <v>72</v>
      </c>
      <c r="F13" s="106">
        <v>1558.32</v>
      </c>
      <c r="G13" s="106"/>
      <c r="H13" s="106"/>
      <c r="I13" s="107">
        <v>64.015135841724</v>
      </c>
      <c r="J13" s="107">
        <v>0</v>
      </c>
      <c r="K13" s="107">
        <v>10</v>
      </c>
      <c r="L13" s="107">
        <f t="shared" si="0"/>
        <v>99756.0664848754</v>
      </c>
      <c r="M13" s="107">
        <f t="shared" si="1"/>
        <v>0</v>
      </c>
      <c r="N13" s="107">
        <f t="shared" si="2"/>
        <v>15583.2</v>
      </c>
      <c r="O13" s="108"/>
      <c r="P13" s="112" t="s">
        <v>87</v>
      </c>
    </row>
    <row r="14" ht="61" customHeight="1" spans="1:16">
      <c r="A14" s="104">
        <v>10</v>
      </c>
      <c r="B14" s="104" t="s">
        <v>88</v>
      </c>
      <c r="C14" s="111" t="s">
        <v>89</v>
      </c>
      <c r="D14" s="111" t="s">
        <v>90</v>
      </c>
      <c r="E14" s="113" t="s">
        <v>59</v>
      </c>
      <c r="F14" s="106">
        <v>30</v>
      </c>
      <c r="G14" s="106"/>
      <c r="H14" s="106"/>
      <c r="I14" s="107">
        <v>1208.7664</v>
      </c>
      <c r="J14" s="107">
        <v>0</v>
      </c>
      <c r="K14" s="107">
        <v>520</v>
      </c>
      <c r="L14" s="107">
        <f t="shared" si="0"/>
        <v>36262.992</v>
      </c>
      <c r="M14" s="107">
        <f t="shared" si="1"/>
        <v>0</v>
      </c>
      <c r="N14" s="107">
        <f t="shared" si="2"/>
        <v>15600</v>
      </c>
      <c r="O14" s="108"/>
      <c r="P14" s="112" t="s">
        <v>91</v>
      </c>
    </row>
    <row r="15" s="95" customFormat="1" ht="35" customHeight="1" spans="1:16">
      <c r="A15" s="104">
        <v>11</v>
      </c>
      <c r="B15" s="104" t="s">
        <v>92</v>
      </c>
      <c r="C15" s="111" t="s">
        <v>93</v>
      </c>
      <c r="D15" s="115" t="s">
        <v>94</v>
      </c>
      <c r="E15" s="118" t="s">
        <v>72</v>
      </c>
      <c r="F15" s="106">
        <v>36</v>
      </c>
      <c r="G15" s="106"/>
      <c r="H15" s="106"/>
      <c r="I15" s="107">
        <v>261.719610619469</v>
      </c>
      <c r="J15" s="107">
        <v>200</v>
      </c>
      <c r="K15" s="107">
        <v>30</v>
      </c>
      <c r="L15" s="107">
        <f t="shared" si="0"/>
        <v>9421.90598230088</v>
      </c>
      <c r="M15" s="107">
        <f t="shared" si="1"/>
        <v>7200</v>
      </c>
      <c r="N15" s="107">
        <f t="shared" si="2"/>
        <v>1080</v>
      </c>
      <c r="O15" s="108"/>
      <c r="P15" s="112" t="s">
        <v>95</v>
      </c>
    </row>
    <row r="16" ht="22" customHeight="1" spans="1:16">
      <c r="A16" s="104">
        <v>12</v>
      </c>
      <c r="B16" s="104" t="s">
        <v>96</v>
      </c>
      <c r="C16" s="111" t="s">
        <v>97</v>
      </c>
      <c r="D16" s="111" t="s">
        <v>98</v>
      </c>
      <c r="E16" s="118" t="s">
        <v>72</v>
      </c>
      <c r="F16" s="106">
        <v>12.32</v>
      </c>
      <c r="G16" s="106"/>
      <c r="H16" s="106"/>
      <c r="I16" s="107">
        <v>495.689557522124</v>
      </c>
      <c r="J16" s="107">
        <v>330</v>
      </c>
      <c r="K16" s="107">
        <v>100</v>
      </c>
      <c r="L16" s="107">
        <f t="shared" si="0"/>
        <v>6106.89534867257</v>
      </c>
      <c r="M16" s="107">
        <f t="shared" si="1"/>
        <v>4065.6</v>
      </c>
      <c r="N16" s="107">
        <f t="shared" si="2"/>
        <v>1232</v>
      </c>
      <c r="O16" s="108"/>
      <c r="P16" s="112" t="s">
        <v>77</v>
      </c>
    </row>
    <row r="17" ht="22" customHeight="1" spans="1:16">
      <c r="A17" s="104">
        <v>13</v>
      </c>
      <c r="B17" s="104" t="s">
        <v>99</v>
      </c>
      <c r="C17" s="111" t="s">
        <v>100</v>
      </c>
      <c r="D17" s="111"/>
      <c r="E17" s="118" t="s">
        <v>72</v>
      </c>
      <c r="F17" s="106">
        <v>90</v>
      </c>
      <c r="G17" s="106"/>
      <c r="H17" s="106"/>
      <c r="I17" s="107">
        <v>298.196991150443</v>
      </c>
      <c r="J17" s="107">
        <v>210</v>
      </c>
      <c r="K17" s="107">
        <v>50</v>
      </c>
      <c r="L17" s="107">
        <f t="shared" si="0"/>
        <v>26837.7292035399</v>
      </c>
      <c r="M17" s="107">
        <f t="shared" si="1"/>
        <v>18900</v>
      </c>
      <c r="N17" s="107">
        <f t="shared" si="2"/>
        <v>4500</v>
      </c>
      <c r="O17" s="108"/>
      <c r="P17" s="112" t="s">
        <v>77</v>
      </c>
    </row>
    <row r="18" ht="141" customHeight="1" spans="1:16">
      <c r="A18" s="104">
        <v>14</v>
      </c>
      <c r="B18" s="104" t="s">
        <v>101</v>
      </c>
      <c r="C18" s="111" t="s">
        <v>102</v>
      </c>
      <c r="D18" s="111" t="s">
        <v>103</v>
      </c>
      <c r="E18" s="118" t="s">
        <v>72</v>
      </c>
      <c r="F18" s="106">
        <v>124.8</v>
      </c>
      <c r="G18" s="106"/>
      <c r="H18" s="106"/>
      <c r="I18" s="107">
        <v>71.6993685132744</v>
      </c>
      <c r="J18" s="107">
        <v>17.2</v>
      </c>
      <c r="K18" s="107">
        <v>20</v>
      </c>
      <c r="L18" s="107">
        <f t="shared" si="0"/>
        <v>8948.08119045664</v>
      </c>
      <c r="M18" s="107">
        <f t="shared" si="1"/>
        <v>2146.56</v>
      </c>
      <c r="N18" s="107">
        <f t="shared" si="2"/>
        <v>2496</v>
      </c>
      <c r="O18" s="108"/>
      <c r="P18" s="112" t="s">
        <v>104</v>
      </c>
    </row>
    <row r="19" ht="110" customHeight="1" spans="1:16">
      <c r="A19" s="104">
        <v>15</v>
      </c>
      <c r="B19" s="104" t="s">
        <v>105</v>
      </c>
      <c r="C19" s="111" t="s">
        <v>106</v>
      </c>
      <c r="D19" s="111" t="s">
        <v>107</v>
      </c>
      <c r="E19" s="118" t="s">
        <v>72</v>
      </c>
      <c r="F19" s="106">
        <v>700</v>
      </c>
      <c r="G19" s="106"/>
      <c r="H19" s="106"/>
      <c r="I19" s="107">
        <v>121.521260212389</v>
      </c>
      <c r="J19" s="107">
        <v>32.25</v>
      </c>
      <c r="K19" s="107">
        <v>25</v>
      </c>
      <c r="L19" s="107">
        <f t="shared" si="0"/>
        <v>85064.8821486723</v>
      </c>
      <c r="M19" s="107">
        <f t="shared" si="1"/>
        <v>22575</v>
      </c>
      <c r="N19" s="107">
        <f t="shared" si="2"/>
        <v>17500</v>
      </c>
      <c r="O19" s="108"/>
      <c r="P19" s="112" t="s">
        <v>108</v>
      </c>
    </row>
    <row r="20" ht="22" customHeight="1" spans="1:16">
      <c r="A20" s="104">
        <v>16</v>
      </c>
      <c r="B20" s="104">
        <v>1.2</v>
      </c>
      <c r="C20" s="111" t="s">
        <v>109</v>
      </c>
      <c r="D20" s="111"/>
      <c r="E20" s="104"/>
      <c r="F20" s="104"/>
      <c r="G20" s="106"/>
      <c r="H20" s="106"/>
      <c r="I20" s="107">
        <v>0</v>
      </c>
      <c r="J20" s="107">
        <v>0</v>
      </c>
      <c r="K20" s="107">
        <v>0</v>
      </c>
      <c r="L20" s="107">
        <f t="shared" si="0"/>
        <v>0</v>
      </c>
      <c r="M20" s="107">
        <f t="shared" si="1"/>
        <v>0</v>
      </c>
      <c r="N20" s="107">
        <f t="shared" si="2"/>
        <v>0</v>
      </c>
      <c r="O20" s="108"/>
      <c r="P20" s="112"/>
    </row>
    <row r="21" ht="105" customHeight="1" spans="1:16">
      <c r="A21" s="104">
        <v>17</v>
      </c>
      <c r="B21" s="104" t="s">
        <v>110</v>
      </c>
      <c r="C21" s="111" t="s">
        <v>111</v>
      </c>
      <c r="D21" s="119" t="s">
        <v>58</v>
      </c>
      <c r="E21" s="113" t="s">
        <v>59</v>
      </c>
      <c r="F21" s="120">
        <v>130</v>
      </c>
      <c r="G21" s="106"/>
      <c r="H21" s="106"/>
      <c r="I21" s="107">
        <v>784.60255180531</v>
      </c>
      <c r="J21" s="107">
        <v>260</v>
      </c>
      <c r="K21" s="107">
        <v>192.5</v>
      </c>
      <c r="L21" s="107">
        <f t="shared" si="0"/>
        <v>101998.33173469</v>
      </c>
      <c r="M21" s="107">
        <f t="shared" si="1"/>
        <v>33800</v>
      </c>
      <c r="N21" s="107">
        <f t="shared" si="2"/>
        <v>25025</v>
      </c>
      <c r="O21" s="108"/>
      <c r="P21" s="112" t="s">
        <v>60</v>
      </c>
    </row>
    <row r="22" ht="34" customHeight="1" spans="1:16">
      <c r="A22" s="104">
        <v>18</v>
      </c>
      <c r="B22" s="104" t="s">
        <v>112</v>
      </c>
      <c r="C22" s="111" t="s">
        <v>113</v>
      </c>
      <c r="D22" s="119" t="s">
        <v>114</v>
      </c>
      <c r="E22" s="113" t="s">
        <v>59</v>
      </c>
      <c r="F22" s="120">
        <v>314</v>
      </c>
      <c r="G22" s="106"/>
      <c r="H22" s="106"/>
      <c r="I22" s="107">
        <v>1499.69029380531</v>
      </c>
      <c r="J22" s="107">
        <v>570.75</v>
      </c>
      <c r="K22" s="107">
        <v>415</v>
      </c>
      <c r="L22" s="107">
        <f t="shared" si="0"/>
        <v>470902.752254867</v>
      </c>
      <c r="M22" s="107">
        <f t="shared" si="1"/>
        <v>179215.5</v>
      </c>
      <c r="N22" s="107">
        <f t="shared" si="2"/>
        <v>130310</v>
      </c>
      <c r="O22" s="108"/>
      <c r="P22" s="112" t="s">
        <v>77</v>
      </c>
    </row>
    <row r="23" ht="42" customHeight="1" spans="1:16">
      <c r="A23" s="104">
        <v>19</v>
      </c>
      <c r="B23" s="104" t="s">
        <v>115</v>
      </c>
      <c r="C23" s="115" t="s">
        <v>116</v>
      </c>
      <c r="D23" s="111" t="s">
        <v>63</v>
      </c>
      <c r="E23" s="116" t="s">
        <v>64</v>
      </c>
      <c r="F23" s="120">
        <v>60</v>
      </c>
      <c r="G23" s="106"/>
      <c r="H23" s="106"/>
      <c r="I23" s="107">
        <v>5361.39168141593</v>
      </c>
      <c r="J23" s="107">
        <v>3500</v>
      </c>
      <c r="K23" s="107">
        <v>900</v>
      </c>
      <c r="L23" s="107">
        <f t="shared" si="0"/>
        <v>321683.500884956</v>
      </c>
      <c r="M23" s="107">
        <f t="shared" si="1"/>
        <v>210000</v>
      </c>
      <c r="N23" s="107">
        <f t="shared" si="2"/>
        <v>54000</v>
      </c>
      <c r="O23" s="108"/>
      <c r="P23" s="112" t="s">
        <v>65</v>
      </c>
    </row>
    <row r="24" ht="66" customHeight="1" spans="1:16">
      <c r="A24" s="104">
        <v>20</v>
      </c>
      <c r="B24" s="104" t="s">
        <v>117</v>
      </c>
      <c r="C24" s="115" t="s">
        <v>118</v>
      </c>
      <c r="D24" s="115" t="s">
        <v>63</v>
      </c>
      <c r="E24" s="116" t="s">
        <v>64</v>
      </c>
      <c r="F24" s="120">
        <v>408</v>
      </c>
      <c r="G24" s="106"/>
      <c r="H24" s="106"/>
      <c r="I24" s="107">
        <v>7551.57864778761</v>
      </c>
      <c r="J24" s="107">
        <v>3910</v>
      </c>
      <c r="K24" s="107">
        <v>2150</v>
      </c>
      <c r="L24" s="107">
        <f t="shared" si="0"/>
        <v>3081044.08829734</v>
      </c>
      <c r="M24" s="107">
        <f t="shared" si="1"/>
        <v>1595280</v>
      </c>
      <c r="N24" s="107">
        <f t="shared" si="2"/>
        <v>877200</v>
      </c>
      <c r="O24" s="108"/>
      <c r="P24" s="112" t="s">
        <v>119</v>
      </c>
    </row>
    <row r="25" ht="42" customHeight="1" spans="1:16">
      <c r="A25" s="104">
        <v>21</v>
      </c>
      <c r="B25" s="104" t="s">
        <v>120</v>
      </c>
      <c r="C25" s="121" t="s">
        <v>121</v>
      </c>
      <c r="D25" s="111" t="s">
        <v>63</v>
      </c>
      <c r="E25" s="116" t="s">
        <v>64</v>
      </c>
      <c r="F25" s="120">
        <v>15</v>
      </c>
      <c r="G25" s="106"/>
      <c r="H25" s="106"/>
      <c r="I25" s="107">
        <v>7691.58017699115</v>
      </c>
      <c r="J25" s="107">
        <v>3910</v>
      </c>
      <c r="K25" s="107">
        <v>2150</v>
      </c>
      <c r="L25" s="107">
        <f t="shared" si="0"/>
        <v>115373.702654867</v>
      </c>
      <c r="M25" s="107">
        <f t="shared" si="1"/>
        <v>58650</v>
      </c>
      <c r="N25" s="107">
        <f t="shared" si="2"/>
        <v>32250</v>
      </c>
      <c r="O25" s="108"/>
      <c r="P25" s="112" t="s">
        <v>77</v>
      </c>
    </row>
    <row r="26" ht="73" customHeight="1" spans="1:16">
      <c r="A26" s="104">
        <v>22</v>
      </c>
      <c r="B26" s="104" t="s">
        <v>122</v>
      </c>
      <c r="C26" s="121" t="s">
        <v>123</v>
      </c>
      <c r="D26" s="111" t="s">
        <v>124</v>
      </c>
      <c r="E26" s="116" t="s">
        <v>125</v>
      </c>
      <c r="F26" s="120">
        <v>25</v>
      </c>
      <c r="G26" s="106"/>
      <c r="H26" s="106"/>
      <c r="I26" s="107">
        <v>4678.28</v>
      </c>
      <c r="J26" s="107">
        <v>0</v>
      </c>
      <c r="K26" s="107">
        <v>1500</v>
      </c>
      <c r="L26" s="107">
        <f t="shared" si="0"/>
        <v>116957</v>
      </c>
      <c r="M26" s="107">
        <f t="shared" si="1"/>
        <v>0</v>
      </c>
      <c r="N26" s="107">
        <f t="shared" si="2"/>
        <v>37500</v>
      </c>
      <c r="O26" s="108"/>
      <c r="P26" s="112" t="s">
        <v>126</v>
      </c>
    </row>
    <row r="27" ht="85" customHeight="1" spans="1:16">
      <c r="A27" s="104">
        <v>23</v>
      </c>
      <c r="B27" s="104" t="s">
        <v>127</v>
      </c>
      <c r="C27" s="121" t="s">
        <v>128</v>
      </c>
      <c r="D27" s="111" t="s">
        <v>129</v>
      </c>
      <c r="E27" s="113" t="s">
        <v>59</v>
      </c>
      <c r="F27" s="120">
        <v>30</v>
      </c>
      <c r="G27" s="106"/>
      <c r="H27" s="106"/>
      <c r="I27" s="107">
        <v>2275.92</v>
      </c>
      <c r="J27" s="107">
        <v>0</v>
      </c>
      <c r="K27" s="107">
        <v>300</v>
      </c>
      <c r="L27" s="107">
        <f t="shared" si="0"/>
        <v>68277.6</v>
      </c>
      <c r="M27" s="107">
        <f t="shared" si="1"/>
        <v>0</v>
      </c>
      <c r="N27" s="107">
        <f t="shared" si="2"/>
        <v>9000</v>
      </c>
      <c r="O27" s="108"/>
      <c r="P27" s="112" t="s">
        <v>130</v>
      </c>
    </row>
    <row r="28" ht="22" customHeight="1" spans="1:16">
      <c r="A28" s="104">
        <v>24</v>
      </c>
      <c r="B28" s="104">
        <v>1.3</v>
      </c>
      <c r="C28" s="122" t="s">
        <v>131</v>
      </c>
      <c r="D28" s="119"/>
      <c r="E28" s="123"/>
      <c r="F28" s="123"/>
      <c r="G28" s="106"/>
      <c r="H28" s="106"/>
      <c r="I28" s="107">
        <v>0</v>
      </c>
      <c r="J28" s="107">
        <v>0</v>
      </c>
      <c r="K28" s="107">
        <v>0</v>
      </c>
      <c r="L28" s="107">
        <f t="shared" si="0"/>
        <v>0</v>
      </c>
      <c r="M28" s="107">
        <f t="shared" si="1"/>
        <v>0</v>
      </c>
      <c r="N28" s="107">
        <f t="shared" si="2"/>
        <v>0</v>
      </c>
      <c r="O28" s="108"/>
      <c r="P28" s="112"/>
    </row>
    <row r="29" ht="113" customHeight="1" spans="1:16">
      <c r="A29" s="104">
        <v>25</v>
      </c>
      <c r="B29" s="104" t="s">
        <v>132</v>
      </c>
      <c r="C29" s="122" t="s">
        <v>133</v>
      </c>
      <c r="D29" s="119" t="s">
        <v>58</v>
      </c>
      <c r="E29" s="113" t="s">
        <v>59</v>
      </c>
      <c r="F29" s="120">
        <v>495</v>
      </c>
      <c r="G29" s="106"/>
      <c r="H29" s="106"/>
      <c r="I29" s="107">
        <v>901.55955180531</v>
      </c>
      <c r="J29" s="107">
        <v>260</v>
      </c>
      <c r="K29" s="107">
        <v>235</v>
      </c>
      <c r="L29" s="107">
        <f t="shared" si="0"/>
        <v>446271.978143628</v>
      </c>
      <c r="M29" s="107">
        <f t="shared" si="1"/>
        <v>128700</v>
      </c>
      <c r="N29" s="107">
        <f t="shared" si="2"/>
        <v>116325</v>
      </c>
      <c r="O29" s="108"/>
      <c r="P29" s="112" t="s">
        <v>60</v>
      </c>
    </row>
    <row r="30" ht="39" customHeight="1" spans="1:16">
      <c r="A30" s="104">
        <v>26</v>
      </c>
      <c r="B30" s="104" t="s">
        <v>134</v>
      </c>
      <c r="C30" s="122" t="s">
        <v>135</v>
      </c>
      <c r="D30" s="111" t="s">
        <v>63</v>
      </c>
      <c r="E30" s="116" t="s">
        <v>64</v>
      </c>
      <c r="F30" s="120">
        <v>59.4</v>
      </c>
      <c r="G30" s="106"/>
      <c r="H30" s="106"/>
      <c r="I30" s="107">
        <v>5361.39168141593</v>
      </c>
      <c r="J30" s="107">
        <v>3500</v>
      </c>
      <c r="K30" s="107">
        <v>900</v>
      </c>
      <c r="L30" s="107">
        <f t="shared" si="0"/>
        <v>318466.665876106</v>
      </c>
      <c r="M30" s="107">
        <f t="shared" si="1"/>
        <v>207900</v>
      </c>
      <c r="N30" s="107">
        <f t="shared" si="2"/>
        <v>53460</v>
      </c>
      <c r="O30" s="108"/>
      <c r="P30" s="112" t="s">
        <v>65</v>
      </c>
    </row>
    <row r="31" ht="58" customHeight="1" spans="1:16">
      <c r="A31" s="104">
        <v>27</v>
      </c>
      <c r="B31" s="104" t="s">
        <v>136</v>
      </c>
      <c r="C31" s="121" t="s">
        <v>137</v>
      </c>
      <c r="D31" s="111" t="s">
        <v>63</v>
      </c>
      <c r="E31" s="116" t="s">
        <v>64</v>
      </c>
      <c r="F31" s="120">
        <v>23.27</v>
      </c>
      <c r="G31" s="106"/>
      <c r="H31" s="106"/>
      <c r="I31" s="107">
        <v>8055.23504424779</v>
      </c>
      <c r="J31" s="107">
        <v>4600</v>
      </c>
      <c r="K31" s="107">
        <v>1300</v>
      </c>
      <c r="L31" s="107">
        <f t="shared" si="0"/>
        <v>187445.319479646</v>
      </c>
      <c r="M31" s="107">
        <f t="shared" si="1"/>
        <v>107042</v>
      </c>
      <c r="N31" s="107">
        <f t="shared" si="2"/>
        <v>30251</v>
      </c>
      <c r="O31" s="108"/>
      <c r="P31" s="112" t="s">
        <v>138</v>
      </c>
    </row>
    <row r="32" ht="62" customHeight="1" spans="1:16">
      <c r="A32" s="104">
        <v>28</v>
      </c>
      <c r="B32" s="104" t="s">
        <v>139</v>
      </c>
      <c r="C32" s="122" t="s">
        <v>140</v>
      </c>
      <c r="D32" s="111" t="s">
        <v>63</v>
      </c>
      <c r="E32" s="116" t="s">
        <v>64</v>
      </c>
      <c r="F32" s="120">
        <v>2</v>
      </c>
      <c r="G32" s="106"/>
      <c r="H32" s="106"/>
      <c r="I32" s="107">
        <v>7551.57864778761</v>
      </c>
      <c r="J32" s="107">
        <v>3910</v>
      </c>
      <c r="K32" s="107">
        <v>2150</v>
      </c>
      <c r="L32" s="107">
        <f t="shared" si="0"/>
        <v>15103.1572955752</v>
      </c>
      <c r="M32" s="107">
        <f t="shared" si="1"/>
        <v>7820</v>
      </c>
      <c r="N32" s="107">
        <f t="shared" si="2"/>
        <v>4300</v>
      </c>
      <c r="O32" s="108"/>
      <c r="P32" s="112" t="s">
        <v>68</v>
      </c>
    </row>
    <row r="33" ht="22" customHeight="1" spans="1:16">
      <c r="A33" s="104">
        <v>29</v>
      </c>
      <c r="B33" s="104">
        <v>1.4</v>
      </c>
      <c r="C33" s="124" t="s">
        <v>141</v>
      </c>
      <c r="D33" s="125"/>
      <c r="E33" s="104"/>
      <c r="F33" s="104"/>
      <c r="G33" s="106"/>
      <c r="H33" s="106"/>
      <c r="I33" s="107">
        <v>0</v>
      </c>
      <c r="J33" s="107">
        <v>0</v>
      </c>
      <c r="K33" s="107">
        <v>0</v>
      </c>
      <c r="L33" s="107">
        <f t="shared" si="0"/>
        <v>0</v>
      </c>
      <c r="M33" s="107">
        <f t="shared" si="1"/>
        <v>0</v>
      </c>
      <c r="N33" s="107">
        <f t="shared" si="2"/>
        <v>0</v>
      </c>
      <c r="O33" s="108"/>
      <c r="P33" s="112"/>
    </row>
    <row r="34" ht="64" customHeight="1" spans="1:16">
      <c r="A34" s="104">
        <v>30</v>
      </c>
      <c r="B34" s="104" t="s">
        <v>142</v>
      </c>
      <c r="C34" s="111" t="s">
        <v>143</v>
      </c>
      <c r="D34" s="111" t="s">
        <v>63</v>
      </c>
      <c r="E34" s="116" t="s">
        <v>64</v>
      </c>
      <c r="F34" s="120">
        <v>14</v>
      </c>
      <c r="G34" s="106"/>
      <c r="H34" s="106"/>
      <c r="I34" s="107">
        <v>7551.57864778761</v>
      </c>
      <c r="J34" s="107">
        <v>3910</v>
      </c>
      <c r="K34" s="107">
        <v>2150</v>
      </c>
      <c r="L34" s="107">
        <f t="shared" si="0"/>
        <v>105722.101069027</v>
      </c>
      <c r="M34" s="107">
        <f t="shared" si="1"/>
        <v>54740</v>
      </c>
      <c r="N34" s="107">
        <f t="shared" si="2"/>
        <v>30100</v>
      </c>
      <c r="O34" s="108"/>
      <c r="P34" s="112" t="s">
        <v>68</v>
      </c>
    </row>
    <row r="35" ht="58" customHeight="1" spans="1:16">
      <c r="A35" s="104">
        <v>31</v>
      </c>
      <c r="B35" s="104" t="s">
        <v>144</v>
      </c>
      <c r="C35" s="111" t="s">
        <v>70</v>
      </c>
      <c r="D35" s="111" t="s">
        <v>76</v>
      </c>
      <c r="E35" s="118" t="s">
        <v>72</v>
      </c>
      <c r="F35" s="106">
        <v>60</v>
      </c>
      <c r="G35" s="106"/>
      <c r="H35" s="106"/>
      <c r="I35" s="107">
        <v>127.021847787611</v>
      </c>
      <c r="J35" s="107">
        <v>72</v>
      </c>
      <c r="K35" s="107">
        <v>22</v>
      </c>
      <c r="L35" s="107">
        <f t="shared" si="0"/>
        <v>7621.31086725666</v>
      </c>
      <c r="M35" s="107">
        <f t="shared" si="1"/>
        <v>4320</v>
      </c>
      <c r="N35" s="107">
        <f t="shared" si="2"/>
        <v>1320</v>
      </c>
      <c r="O35" s="108"/>
      <c r="P35" s="112" t="s">
        <v>73</v>
      </c>
    </row>
    <row r="36" ht="22" customHeight="1" spans="1:16">
      <c r="A36" s="104">
        <v>32</v>
      </c>
      <c r="B36" s="104" t="s">
        <v>145</v>
      </c>
      <c r="C36" s="111" t="s">
        <v>146</v>
      </c>
      <c r="D36" s="111" t="s">
        <v>80</v>
      </c>
      <c r="E36" s="118" t="s">
        <v>72</v>
      </c>
      <c r="F36" s="106">
        <v>30</v>
      </c>
      <c r="G36" s="106"/>
      <c r="H36" s="106"/>
      <c r="I36" s="107">
        <v>115.608679646018</v>
      </c>
      <c r="J36" s="107">
        <v>63.5</v>
      </c>
      <c r="K36" s="107">
        <v>22</v>
      </c>
      <c r="L36" s="107">
        <f t="shared" si="0"/>
        <v>3468.26038938054</v>
      </c>
      <c r="M36" s="107">
        <f t="shared" si="1"/>
        <v>1905</v>
      </c>
      <c r="N36" s="107">
        <f t="shared" si="2"/>
        <v>660</v>
      </c>
      <c r="O36" s="108"/>
      <c r="P36" s="112" t="s">
        <v>77</v>
      </c>
    </row>
    <row r="37" ht="37" customHeight="1" spans="1:16">
      <c r="A37" s="104">
        <v>33</v>
      </c>
      <c r="B37" s="104" t="s">
        <v>147</v>
      </c>
      <c r="C37" s="111" t="s">
        <v>148</v>
      </c>
      <c r="D37" s="115" t="s">
        <v>149</v>
      </c>
      <c r="E37" s="118" t="s">
        <v>72</v>
      </c>
      <c r="F37" s="106">
        <v>120</v>
      </c>
      <c r="G37" s="106"/>
      <c r="H37" s="106"/>
      <c r="I37" s="107">
        <v>584.197557522124</v>
      </c>
      <c r="J37" s="107">
        <v>330</v>
      </c>
      <c r="K37" s="107">
        <v>120</v>
      </c>
      <c r="L37" s="107">
        <f t="shared" si="0"/>
        <v>70103.7069026549</v>
      </c>
      <c r="M37" s="107">
        <f t="shared" si="1"/>
        <v>39600</v>
      </c>
      <c r="N37" s="107">
        <f t="shared" si="2"/>
        <v>14400</v>
      </c>
      <c r="O37" s="108"/>
      <c r="P37" s="112" t="s">
        <v>150</v>
      </c>
    </row>
    <row r="38" ht="22" customHeight="1" spans="1:16">
      <c r="A38" s="104">
        <v>34</v>
      </c>
      <c r="B38" s="104">
        <v>1.5</v>
      </c>
      <c r="C38" s="111" t="s">
        <v>151</v>
      </c>
      <c r="D38" s="119"/>
      <c r="E38" s="123"/>
      <c r="F38" s="123"/>
      <c r="G38" s="106"/>
      <c r="H38" s="106"/>
      <c r="I38" s="107">
        <v>0</v>
      </c>
      <c r="J38" s="107">
        <v>0</v>
      </c>
      <c r="K38" s="107">
        <v>0</v>
      </c>
      <c r="L38" s="107">
        <f t="shared" si="0"/>
        <v>0</v>
      </c>
      <c r="M38" s="107">
        <f t="shared" si="1"/>
        <v>0</v>
      </c>
      <c r="N38" s="107">
        <f t="shared" si="2"/>
        <v>0</v>
      </c>
      <c r="O38" s="108"/>
      <c r="P38" s="112"/>
    </row>
    <row r="39" ht="253" customHeight="1" spans="1:16">
      <c r="A39" s="104">
        <v>35</v>
      </c>
      <c r="B39" s="104" t="s">
        <v>152</v>
      </c>
      <c r="C39" s="124" t="s">
        <v>153</v>
      </c>
      <c r="D39" s="125" t="s">
        <v>154</v>
      </c>
      <c r="E39" s="118" t="s">
        <v>72</v>
      </c>
      <c r="F39" s="106">
        <v>47.25</v>
      </c>
      <c r="G39" s="106"/>
      <c r="H39" s="106"/>
      <c r="I39" s="107">
        <v>2640.02244247788</v>
      </c>
      <c r="J39" s="107">
        <v>800</v>
      </c>
      <c r="K39" s="107">
        <v>680</v>
      </c>
      <c r="L39" s="107">
        <f t="shared" si="0"/>
        <v>124741.06040708</v>
      </c>
      <c r="M39" s="107">
        <f t="shared" si="1"/>
        <v>37800</v>
      </c>
      <c r="N39" s="107">
        <f t="shared" si="2"/>
        <v>32130</v>
      </c>
      <c r="O39" s="108"/>
      <c r="P39" s="112" t="s">
        <v>155</v>
      </c>
    </row>
    <row r="40" ht="22" customHeight="1" spans="1:16">
      <c r="A40" s="104">
        <v>36</v>
      </c>
      <c r="B40" s="104" t="s">
        <v>156</v>
      </c>
      <c r="C40" s="124" t="s">
        <v>157</v>
      </c>
      <c r="D40" s="125" t="s">
        <v>154</v>
      </c>
      <c r="E40" s="118" t="s">
        <v>72</v>
      </c>
      <c r="F40" s="106">
        <v>63</v>
      </c>
      <c r="G40" s="106"/>
      <c r="H40" s="106"/>
      <c r="I40" s="107">
        <v>2892.90244247788</v>
      </c>
      <c r="J40" s="107">
        <v>800</v>
      </c>
      <c r="K40" s="107">
        <v>680</v>
      </c>
      <c r="L40" s="107">
        <f t="shared" si="0"/>
        <v>182252.853876106</v>
      </c>
      <c r="M40" s="107">
        <f t="shared" si="1"/>
        <v>50400</v>
      </c>
      <c r="N40" s="107">
        <f t="shared" si="2"/>
        <v>42840</v>
      </c>
      <c r="O40" s="108"/>
      <c r="P40" s="112" t="s">
        <v>77</v>
      </c>
    </row>
    <row r="41" ht="22" customHeight="1" spans="1:16">
      <c r="A41" s="104">
        <v>37</v>
      </c>
      <c r="B41" s="104" t="s">
        <v>158</v>
      </c>
      <c r="C41" s="124" t="s">
        <v>159</v>
      </c>
      <c r="D41" s="125" t="s">
        <v>154</v>
      </c>
      <c r="E41" s="118" t="s">
        <v>72</v>
      </c>
      <c r="F41" s="106">
        <v>126</v>
      </c>
      <c r="G41" s="106"/>
      <c r="H41" s="106"/>
      <c r="I41" s="107">
        <v>3019.34244247788</v>
      </c>
      <c r="J41" s="107">
        <v>800</v>
      </c>
      <c r="K41" s="107">
        <v>680</v>
      </c>
      <c r="L41" s="107">
        <f t="shared" si="0"/>
        <v>380437.147752213</v>
      </c>
      <c r="M41" s="107">
        <f t="shared" si="1"/>
        <v>100800</v>
      </c>
      <c r="N41" s="107">
        <f t="shared" si="2"/>
        <v>85680</v>
      </c>
      <c r="O41" s="108"/>
      <c r="P41" s="112" t="s">
        <v>77</v>
      </c>
    </row>
    <row r="42" ht="22" customHeight="1" spans="1:16">
      <c r="A42" s="104">
        <v>38</v>
      </c>
      <c r="B42" s="104" t="s">
        <v>160</v>
      </c>
      <c r="C42" s="124" t="s">
        <v>161</v>
      </c>
      <c r="D42" s="125" t="s">
        <v>154</v>
      </c>
      <c r="E42" s="118" t="s">
        <v>72</v>
      </c>
      <c r="F42" s="106">
        <v>28.35</v>
      </c>
      <c r="G42" s="106"/>
      <c r="H42" s="106"/>
      <c r="I42" s="107">
        <v>2387.14244247788</v>
      </c>
      <c r="J42" s="107">
        <v>800</v>
      </c>
      <c r="K42" s="107">
        <v>580</v>
      </c>
      <c r="L42" s="107">
        <f t="shared" si="0"/>
        <v>67675.4882442479</v>
      </c>
      <c r="M42" s="107">
        <f t="shared" si="1"/>
        <v>22680</v>
      </c>
      <c r="N42" s="107">
        <f t="shared" si="2"/>
        <v>16443</v>
      </c>
      <c r="O42" s="108"/>
      <c r="P42" s="112" t="s">
        <v>77</v>
      </c>
    </row>
    <row r="43" ht="22" customHeight="1" spans="1:16">
      <c r="A43" s="104">
        <v>39</v>
      </c>
      <c r="B43" s="104">
        <v>1.6</v>
      </c>
      <c r="C43" s="124" t="s">
        <v>162</v>
      </c>
      <c r="D43" s="111"/>
      <c r="E43" s="104"/>
      <c r="F43" s="104"/>
      <c r="G43" s="106"/>
      <c r="H43" s="106"/>
      <c r="I43" s="107">
        <v>0</v>
      </c>
      <c r="J43" s="107">
        <v>0</v>
      </c>
      <c r="K43" s="107">
        <v>0</v>
      </c>
      <c r="L43" s="107">
        <f t="shared" si="0"/>
        <v>0</v>
      </c>
      <c r="M43" s="107">
        <f t="shared" si="1"/>
        <v>0</v>
      </c>
      <c r="N43" s="107">
        <f t="shared" si="2"/>
        <v>0</v>
      </c>
      <c r="O43" s="108"/>
      <c r="P43" s="112"/>
    </row>
    <row r="44" ht="71" customHeight="1" spans="1:16">
      <c r="A44" s="104">
        <v>40</v>
      </c>
      <c r="B44" s="104" t="s">
        <v>163</v>
      </c>
      <c r="C44" s="124" t="s">
        <v>164</v>
      </c>
      <c r="D44" s="111" t="s">
        <v>165</v>
      </c>
      <c r="E44" s="118" t="s">
        <v>72</v>
      </c>
      <c r="F44" s="106">
        <v>270</v>
      </c>
      <c r="G44" s="106"/>
      <c r="H44" s="106"/>
      <c r="I44" s="107">
        <v>56.898</v>
      </c>
      <c r="J44" s="107">
        <v>0</v>
      </c>
      <c r="K44" s="107">
        <v>30</v>
      </c>
      <c r="L44" s="107">
        <f t="shared" si="0"/>
        <v>15362.46</v>
      </c>
      <c r="M44" s="107">
        <f t="shared" si="1"/>
        <v>0</v>
      </c>
      <c r="N44" s="107">
        <f t="shared" si="2"/>
        <v>8100</v>
      </c>
      <c r="O44" s="108"/>
      <c r="P44" s="112" t="s">
        <v>166</v>
      </c>
    </row>
    <row r="45" ht="51" customHeight="1" spans="1:16">
      <c r="A45" s="104">
        <v>41</v>
      </c>
      <c r="B45" s="104" t="s">
        <v>167</v>
      </c>
      <c r="C45" s="124" t="s">
        <v>168</v>
      </c>
      <c r="D45" s="111" t="s">
        <v>169</v>
      </c>
      <c r="E45" s="118" t="s">
        <v>72</v>
      </c>
      <c r="F45" s="106">
        <v>216</v>
      </c>
      <c r="G45" s="106"/>
      <c r="H45" s="106"/>
      <c r="I45" s="107">
        <v>25.288</v>
      </c>
      <c r="J45" s="107">
        <v>0</v>
      </c>
      <c r="K45" s="107">
        <v>10</v>
      </c>
      <c r="L45" s="107">
        <f t="shared" si="0"/>
        <v>5462.208</v>
      </c>
      <c r="M45" s="107">
        <f t="shared" si="1"/>
        <v>0</v>
      </c>
      <c r="N45" s="107">
        <f t="shared" si="2"/>
        <v>2160</v>
      </c>
      <c r="O45" s="108"/>
      <c r="P45" s="112" t="s">
        <v>77</v>
      </c>
    </row>
    <row r="46" ht="33" customHeight="1" spans="1:16">
      <c r="A46" s="104">
        <v>42</v>
      </c>
      <c r="B46" s="104" t="s">
        <v>170</v>
      </c>
      <c r="C46" s="126" t="s">
        <v>171</v>
      </c>
      <c r="D46" s="111"/>
      <c r="E46" s="118" t="s">
        <v>72</v>
      </c>
      <c r="F46" s="106">
        <v>30</v>
      </c>
      <c r="G46" s="106"/>
      <c r="H46" s="106"/>
      <c r="I46" s="107">
        <v>261.719610619469</v>
      </c>
      <c r="J46" s="107">
        <v>200</v>
      </c>
      <c r="K46" s="107">
        <v>30</v>
      </c>
      <c r="L46" s="107">
        <f t="shared" si="0"/>
        <v>7851.58831858407</v>
      </c>
      <c r="M46" s="107">
        <f t="shared" si="1"/>
        <v>6000</v>
      </c>
      <c r="N46" s="107">
        <f t="shared" si="2"/>
        <v>900</v>
      </c>
      <c r="O46" s="108"/>
      <c r="P46" s="112" t="s">
        <v>95</v>
      </c>
    </row>
    <row r="47" ht="22" customHeight="1" spans="1:16">
      <c r="A47" s="104">
        <v>43</v>
      </c>
      <c r="B47" s="104">
        <v>1.7</v>
      </c>
      <c r="C47" s="122" t="s">
        <v>172</v>
      </c>
      <c r="D47" s="119"/>
      <c r="E47" s="123"/>
      <c r="F47" s="123"/>
      <c r="G47" s="106"/>
      <c r="H47" s="106"/>
      <c r="I47" s="107">
        <v>0</v>
      </c>
      <c r="J47" s="107">
        <v>0</v>
      </c>
      <c r="K47" s="107">
        <v>0</v>
      </c>
      <c r="L47" s="107">
        <f t="shared" si="0"/>
        <v>0</v>
      </c>
      <c r="M47" s="107">
        <f t="shared" si="1"/>
        <v>0</v>
      </c>
      <c r="N47" s="107">
        <f t="shared" si="2"/>
        <v>0</v>
      </c>
      <c r="O47" s="108"/>
      <c r="P47" s="112"/>
    </row>
    <row r="48" ht="107" customHeight="1" spans="1:16">
      <c r="A48" s="104">
        <v>44</v>
      </c>
      <c r="B48" s="104" t="s">
        <v>173</v>
      </c>
      <c r="C48" s="119" t="s">
        <v>174</v>
      </c>
      <c r="D48" s="119" t="s">
        <v>58</v>
      </c>
      <c r="E48" s="113" t="s">
        <v>59</v>
      </c>
      <c r="F48" s="120">
        <v>230</v>
      </c>
      <c r="G48" s="106"/>
      <c r="H48" s="106"/>
      <c r="I48" s="107">
        <v>1030.25472571835</v>
      </c>
      <c r="J48" s="107">
        <v>260</v>
      </c>
      <c r="K48" s="107">
        <v>192.5</v>
      </c>
      <c r="L48" s="107">
        <f t="shared" si="0"/>
        <v>236958.586915221</v>
      </c>
      <c r="M48" s="107">
        <f t="shared" si="1"/>
        <v>59800</v>
      </c>
      <c r="N48" s="107">
        <f t="shared" si="2"/>
        <v>44275</v>
      </c>
      <c r="O48" s="108"/>
      <c r="P48" s="112" t="s">
        <v>175</v>
      </c>
    </row>
    <row r="49" ht="96" customHeight="1" spans="1:16">
      <c r="A49" s="104">
        <v>45</v>
      </c>
      <c r="B49" s="104" t="s">
        <v>176</v>
      </c>
      <c r="C49" s="122" t="s">
        <v>177</v>
      </c>
      <c r="D49" s="119" t="s">
        <v>58</v>
      </c>
      <c r="E49" s="113" t="s">
        <v>59</v>
      </c>
      <c r="F49" s="120">
        <v>90</v>
      </c>
      <c r="G49" s="106"/>
      <c r="H49" s="106"/>
      <c r="I49" s="107">
        <v>784.60255180531</v>
      </c>
      <c r="J49" s="107">
        <v>260</v>
      </c>
      <c r="K49" s="107">
        <v>192.5</v>
      </c>
      <c r="L49" s="107">
        <f t="shared" si="0"/>
        <v>70614.2296624779</v>
      </c>
      <c r="M49" s="107">
        <f t="shared" si="1"/>
        <v>23400</v>
      </c>
      <c r="N49" s="107">
        <f t="shared" si="2"/>
        <v>17325</v>
      </c>
      <c r="O49" s="108"/>
      <c r="P49" s="112" t="s">
        <v>60</v>
      </c>
    </row>
    <row r="50" ht="22" customHeight="1" spans="1:16">
      <c r="A50" s="104">
        <v>46</v>
      </c>
      <c r="B50" s="104" t="s">
        <v>178</v>
      </c>
      <c r="C50" s="111" t="s">
        <v>179</v>
      </c>
      <c r="D50" s="119" t="s">
        <v>58</v>
      </c>
      <c r="E50" s="113" t="s">
        <v>59</v>
      </c>
      <c r="F50" s="120">
        <v>140</v>
      </c>
      <c r="G50" s="106"/>
      <c r="H50" s="106"/>
      <c r="I50" s="107">
        <v>784.60255180531</v>
      </c>
      <c r="J50" s="107">
        <v>260</v>
      </c>
      <c r="K50" s="107">
        <v>192.5</v>
      </c>
      <c r="L50" s="107">
        <f t="shared" si="0"/>
        <v>109844.357252743</v>
      </c>
      <c r="M50" s="107">
        <f t="shared" si="1"/>
        <v>36400</v>
      </c>
      <c r="N50" s="107">
        <f t="shared" si="2"/>
        <v>26950</v>
      </c>
      <c r="O50" s="108"/>
      <c r="P50" s="112" t="s">
        <v>77</v>
      </c>
    </row>
    <row r="51" ht="22" customHeight="1" spans="1:16">
      <c r="A51" s="104">
        <v>47</v>
      </c>
      <c r="B51" s="104" t="s">
        <v>180</v>
      </c>
      <c r="C51" s="111" t="s">
        <v>181</v>
      </c>
      <c r="D51" s="119" t="s">
        <v>58</v>
      </c>
      <c r="E51" s="113" t="s">
        <v>59</v>
      </c>
      <c r="F51" s="120">
        <v>50</v>
      </c>
      <c r="G51" s="106"/>
      <c r="H51" s="106"/>
      <c r="I51" s="107">
        <v>901.55955180531</v>
      </c>
      <c r="J51" s="107">
        <v>260</v>
      </c>
      <c r="K51" s="107">
        <v>235</v>
      </c>
      <c r="L51" s="107">
        <f t="shared" si="0"/>
        <v>45077.9775902655</v>
      </c>
      <c r="M51" s="107">
        <f t="shared" si="1"/>
        <v>13000</v>
      </c>
      <c r="N51" s="107">
        <f t="shared" si="2"/>
        <v>11750</v>
      </c>
      <c r="O51" s="108"/>
      <c r="P51" s="112" t="s">
        <v>77</v>
      </c>
    </row>
    <row r="52" ht="22" customHeight="1" spans="1:16">
      <c r="A52" s="104">
        <v>48</v>
      </c>
      <c r="B52" s="104" t="s">
        <v>182</v>
      </c>
      <c r="C52" s="121" t="s">
        <v>183</v>
      </c>
      <c r="D52" s="119" t="s">
        <v>58</v>
      </c>
      <c r="E52" s="113" t="s">
        <v>59</v>
      </c>
      <c r="F52" s="120">
        <v>25</v>
      </c>
      <c r="G52" s="106"/>
      <c r="H52" s="106"/>
      <c r="I52" s="107">
        <v>980.97019380531</v>
      </c>
      <c r="J52" s="107">
        <v>260</v>
      </c>
      <c r="K52" s="107">
        <v>335</v>
      </c>
      <c r="L52" s="107">
        <f t="shared" si="0"/>
        <v>24524.2548451327</v>
      </c>
      <c r="M52" s="107">
        <f t="shared" si="1"/>
        <v>6500</v>
      </c>
      <c r="N52" s="107">
        <f t="shared" si="2"/>
        <v>8375</v>
      </c>
      <c r="O52" s="108"/>
      <c r="P52" s="112" t="s">
        <v>77</v>
      </c>
    </row>
    <row r="53" ht="22" customHeight="1" spans="1:16">
      <c r="A53" s="104">
        <v>49</v>
      </c>
      <c r="B53" s="104" t="s">
        <v>184</v>
      </c>
      <c r="C53" s="121" t="s">
        <v>185</v>
      </c>
      <c r="D53" s="119" t="s">
        <v>58</v>
      </c>
      <c r="E53" s="113" t="s">
        <v>59</v>
      </c>
      <c r="F53" s="120">
        <v>300</v>
      </c>
      <c r="G53" s="106"/>
      <c r="H53" s="106"/>
      <c r="I53" s="107">
        <v>901.55955180531</v>
      </c>
      <c r="J53" s="107">
        <v>260</v>
      </c>
      <c r="K53" s="107">
        <v>235</v>
      </c>
      <c r="L53" s="107">
        <f t="shared" si="0"/>
        <v>270467.865541593</v>
      </c>
      <c r="M53" s="107">
        <f t="shared" si="1"/>
        <v>78000</v>
      </c>
      <c r="N53" s="107">
        <f t="shared" si="2"/>
        <v>70500</v>
      </c>
      <c r="O53" s="108"/>
      <c r="P53" s="112" t="s">
        <v>77</v>
      </c>
    </row>
    <row r="54" ht="22" customHeight="1" spans="1:16">
      <c r="A54" s="104">
        <v>50</v>
      </c>
      <c r="B54" s="104" t="s">
        <v>186</v>
      </c>
      <c r="C54" s="121" t="s">
        <v>187</v>
      </c>
      <c r="D54" s="119" t="s">
        <v>188</v>
      </c>
      <c r="E54" s="113" t="s">
        <v>59</v>
      </c>
      <c r="F54" s="120">
        <v>45</v>
      </c>
      <c r="G54" s="106"/>
      <c r="H54" s="106"/>
      <c r="I54" s="107">
        <v>947.834353929204</v>
      </c>
      <c r="J54" s="107">
        <v>300</v>
      </c>
      <c r="K54" s="107">
        <v>235</v>
      </c>
      <c r="L54" s="107">
        <f t="shared" si="0"/>
        <v>42652.5459268142</v>
      </c>
      <c r="M54" s="107">
        <f t="shared" si="1"/>
        <v>13500</v>
      </c>
      <c r="N54" s="107">
        <f t="shared" si="2"/>
        <v>10575</v>
      </c>
      <c r="O54" s="108"/>
      <c r="P54" s="112" t="s">
        <v>77</v>
      </c>
    </row>
    <row r="55" ht="41" customHeight="1" spans="1:16">
      <c r="A55" s="104">
        <v>51</v>
      </c>
      <c r="B55" s="104" t="s">
        <v>189</v>
      </c>
      <c r="C55" s="127" t="s">
        <v>116</v>
      </c>
      <c r="D55" s="111" t="s">
        <v>63</v>
      </c>
      <c r="E55" s="116" t="s">
        <v>64</v>
      </c>
      <c r="F55" s="120">
        <v>85</v>
      </c>
      <c r="G55" s="106"/>
      <c r="H55" s="106"/>
      <c r="I55" s="107">
        <v>5361.39168141593</v>
      </c>
      <c r="J55" s="107">
        <v>3500</v>
      </c>
      <c r="K55" s="107">
        <v>900</v>
      </c>
      <c r="L55" s="107">
        <f t="shared" si="0"/>
        <v>455718.292920354</v>
      </c>
      <c r="M55" s="107">
        <f t="shared" si="1"/>
        <v>297500</v>
      </c>
      <c r="N55" s="107">
        <f t="shared" si="2"/>
        <v>76500</v>
      </c>
      <c r="O55" s="108"/>
      <c r="P55" s="112" t="s">
        <v>65</v>
      </c>
    </row>
    <row r="56" ht="66" customHeight="1" spans="1:16">
      <c r="A56" s="104">
        <v>52</v>
      </c>
      <c r="B56" s="104" t="s">
        <v>190</v>
      </c>
      <c r="C56" s="121" t="s">
        <v>191</v>
      </c>
      <c r="D56" s="111" t="s">
        <v>63</v>
      </c>
      <c r="E56" s="116" t="s">
        <v>64</v>
      </c>
      <c r="F56" s="120">
        <v>50</v>
      </c>
      <c r="G56" s="106"/>
      <c r="H56" s="106"/>
      <c r="I56" s="107">
        <v>7551.57864778761</v>
      </c>
      <c r="J56" s="107">
        <v>3910</v>
      </c>
      <c r="K56" s="107">
        <v>2150</v>
      </c>
      <c r="L56" s="107">
        <f t="shared" si="0"/>
        <v>377578.932389381</v>
      </c>
      <c r="M56" s="107">
        <f t="shared" si="1"/>
        <v>195500</v>
      </c>
      <c r="N56" s="107">
        <f t="shared" si="2"/>
        <v>107500</v>
      </c>
      <c r="O56" s="108"/>
      <c r="P56" s="112" t="s">
        <v>68</v>
      </c>
    </row>
    <row r="57" ht="30" customHeight="1" spans="1:16">
      <c r="A57" s="104">
        <v>53</v>
      </c>
      <c r="B57" s="104" t="s">
        <v>192</v>
      </c>
      <c r="C57" s="111" t="s">
        <v>193</v>
      </c>
      <c r="D57" s="111" t="s">
        <v>63</v>
      </c>
      <c r="E57" s="116" t="s">
        <v>64</v>
      </c>
      <c r="F57" s="120">
        <v>64</v>
      </c>
      <c r="G57" s="106"/>
      <c r="H57" s="106"/>
      <c r="I57" s="107">
        <v>7694.0194619469</v>
      </c>
      <c r="J57" s="107">
        <v>3911</v>
      </c>
      <c r="K57" s="107">
        <v>2151</v>
      </c>
      <c r="L57" s="107">
        <f t="shared" si="0"/>
        <v>492417.245564602</v>
      </c>
      <c r="M57" s="107">
        <f t="shared" si="1"/>
        <v>250304</v>
      </c>
      <c r="N57" s="107">
        <f t="shared" si="2"/>
        <v>137664</v>
      </c>
      <c r="O57" s="108"/>
      <c r="P57" s="112" t="s">
        <v>77</v>
      </c>
    </row>
    <row r="58" ht="63" customHeight="1" spans="1:16">
      <c r="A58" s="104">
        <v>54</v>
      </c>
      <c r="B58" s="104" t="s">
        <v>194</v>
      </c>
      <c r="C58" s="124" t="s">
        <v>89</v>
      </c>
      <c r="D58" s="111"/>
      <c r="E58" s="113" t="s">
        <v>59</v>
      </c>
      <c r="F58" s="106">
        <v>29.36</v>
      </c>
      <c r="G58" s="106"/>
      <c r="H58" s="106"/>
      <c r="I58" s="107">
        <v>1208.7664</v>
      </c>
      <c r="J58" s="107">
        <v>0</v>
      </c>
      <c r="K58" s="107">
        <v>520</v>
      </c>
      <c r="L58" s="107">
        <f t="shared" si="0"/>
        <v>35489.381504</v>
      </c>
      <c r="M58" s="107">
        <f t="shared" si="1"/>
        <v>0</v>
      </c>
      <c r="N58" s="107">
        <f t="shared" si="2"/>
        <v>15267.2</v>
      </c>
      <c r="O58" s="108"/>
      <c r="P58" s="112" t="s">
        <v>91</v>
      </c>
    </row>
    <row r="59" ht="105" customHeight="1" spans="1:16">
      <c r="A59" s="104">
        <v>55</v>
      </c>
      <c r="B59" s="104" t="s">
        <v>195</v>
      </c>
      <c r="C59" s="111" t="s">
        <v>196</v>
      </c>
      <c r="D59" s="119" t="s">
        <v>58</v>
      </c>
      <c r="E59" s="113" t="s">
        <v>59</v>
      </c>
      <c r="F59" s="120">
        <v>15</v>
      </c>
      <c r="G59" s="106"/>
      <c r="H59" s="106"/>
      <c r="I59" s="107">
        <v>784.60255180531</v>
      </c>
      <c r="J59" s="107">
        <v>260</v>
      </c>
      <c r="K59" s="107">
        <v>192.5</v>
      </c>
      <c r="L59" s="107">
        <f t="shared" si="0"/>
        <v>11769.0382770796</v>
      </c>
      <c r="M59" s="107">
        <f t="shared" si="1"/>
        <v>3900</v>
      </c>
      <c r="N59" s="107">
        <f t="shared" si="2"/>
        <v>2887.5</v>
      </c>
      <c r="O59" s="108"/>
      <c r="P59" s="112" t="s">
        <v>60</v>
      </c>
    </row>
    <row r="60" ht="47" customHeight="1" spans="1:16">
      <c r="A60" s="104">
        <v>56</v>
      </c>
      <c r="B60" s="104" t="s">
        <v>197</v>
      </c>
      <c r="C60" s="115" t="s">
        <v>198</v>
      </c>
      <c r="D60" s="111" t="s">
        <v>63</v>
      </c>
      <c r="E60" s="116" t="s">
        <v>64</v>
      </c>
      <c r="F60" s="120">
        <v>1.12</v>
      </c>
      <c r="G60" s="106"/>
      <c r="H60" s="106"/>
      <c r="I60" s="107">
        <v>5361.39168141593</v>
      </c>
      <c r="J60" s="107">
        <v>3500</v>
      </c>
      <c r="K60" s="107">
        <v>900</v>
      </c>
      <c r="L60" s="107">
        <f t="shared" si="0"/>
        <v>6004.75868318584</v>
      </c>
      <c r="M60" s="107">
        <f t="shared" si="1"/>
        <v>3920</v>
      </c>
      <c r="N60" s="107">
        <f t="shared" si="2"/>
        <v>1008</v>
      </c>
      <c r="O60" s="108"/>
      <c r="P60" s="112" t="s">
        <v>65</v>
      </c>
    </row>
    <row r="61" ht="62" customHeight="1" spans="1:16">
      <c r="A61" s="104">
        <v>57</v>
      </c>
      <c r="B61" s="104" t="s">
        <v>199</v>
      </c>
      <c r="C61" s="124" t="s">
        <v>200</v>
      </c>
      <c r="D61" s="111"/>
      <c r="E61" s="118" t="s">
        <v>72</v>
      </c>
      <c r="F61" s="106">
        <v>4</v>
      </c>
      <c r="G61" s="106"/>
      <c r="H61" s="106"/>
      <c r="I61" s="107">
        <v>290.103936</v>
      </c>
      <c r="J61" s="107">
        <v>0</v>
      </c>
      <c r="K61" s="107">
        <v>124.8</v>
      </c>
      <c r="L61" s="107">
        <f t="shared" si="0"/>
        <v>1160.415744</v>
      </c>
      <c r="M61" s="107">
        <f t="shared" si="1"/>
        <v>0</v>
      </c>
      <c r="N61" s="107">
        <f t="shared" si="2"/>
        <v>499.2</v>
      </c>
      <c r="O61" s="108"/>
      <c r="P61" s="112" t="s">
        <v>91</v>
      </c>
    </row>
    <row r="62" ht="38" customHeight="1" spans="1:16">
      <c r="A62" s="104">
        <v>58</v>
      </c>
      <c r="B62" s="104" t="s">
        <v>201</v>
      </c>
      <c r="C62" s="124" t="s">
        <v>202</v>
      </c>
      <c r="D62" s="111"/>
      <c r="E62" s="118" t="s">
        <v>72</v>
      </c>
      <c r="F62" s="106">
        <v>4</v>
      </c>
      <c r="G62" s="106"/>
      <c r="H62" s="106"/>
      <c r="I62" s="107">
        <v>196.055849911504</v>
      </c>
      <c r="J62" s="107">
        <v>126.4</v>
      </c>
      <c r="K62" s="107">
        <v>38.4</v>
      </c>
      <c r="L62" s="107">
        <f t="shared" si="0"/>
        <v>784.223399646016</v>
      </c>
      <c r="M62" s="107">
        <f t="shared" si="1"/>
        <v>505.6</v>
      </c>
      <c r="N62" s="107">
        <f t="shared" si="2"/>
        <v>153.6</v>
      </c>
      <c r="O62" s="108"/>
      <c r="P62" s="112" t="s">
        <v>203</v>
      </c>
    </row>
    <row r="63" ht="38" customHeight="1" spans="1:16">
      <c r="A63" s="104">
        <v>59</v>
      </c>
      <c r="B63" s="104" t="s">
        <v>204</v>
      </c>
      <c r="C63" s="124" t="s">
        <v>205</v>
      </c>
      <c r="D63" s="111"/>
      <c r="E63" s="118" t="s">
        <v>72</v>
      </c>
      <c r="F63" s="106">
        <v>6</v>
      </c>
      <c r="G63" s="106"/>
      <c r="H63" s="106"/>
      <c r="I63" s="107">
        <v>113.796</v>
      </c>
      <c r="J63" s="107">
        <v>0</v>
      </c>
      <c r="K63" s="107">
        <v>20</v>
      </c>
      <c r="L63" s="107">
        <f t="shared" si="0"/>
        <v>682.776</v>
      </c>
      <c r="M63" s="107">
        <f t="shared" si="1"/>
        <v>0</v>
      </c>
      <c r="N63" s="107">
        <f t="shared" si="2"/>
        <v>120</v>
      </c>
      <c r="O63" s="108"/>
      <c r="P63" s="112" t="s">
        <v>95</v>
      </c>
    </row>
    <row r="64" ht="96" customHeight="1" spans="1:16">
      <c r="A64" s="104">
        <v>60</v>
      </c>
      <c r="B64" s="104" t="s">
        <v>206</v>
      </c>
      <c r="C64" s="111" t="s">
        <v>207</v>
      </c>
      <c r="D64" s="111" t="s">
        <v>208</v>
      </c>
      <c r="E64" s="118" t="s">
        <v>72</v>
      </c>
      <c r="F64" s="106">
        <v>1500</v>
      </c>
      <c r="G64" s="106"/>
      <c r="H64" s="106"/>
      <c r="I64" s="107">
        <v>121.521260212389</v>
      </c>
      <c r="J64" s="107">
        <v>32.25</v>
      </c>
      <c r="K64" s="107">
        <v>25</v>
      </c>
      <c r="L64" s="107">
        <f t="shared" si="0"/>
        <v>182281.890318583</v>
      </c>
      <c r="M64" s="107">
        <f t="shared" si="1"/>
        <v>48375</v>
      </c>
      <c r="N64" s="107">
        <f t="shared" si="2"/>
        <v>37500</v>
      </c>
      <c r="O64" s="108"/>
      <c r="P64" s="112" t="s">
        <v>60</v>
      </c>
    </row>
    <row r="65" ht="22" customHeight="1" spans="1:16">
      <c r="A65" s="104">
        <v>61</v>
      </c>
      <c r="B65" s="104">
        <v>1.8</v>
      </c>
      <c r="C65" s="111" t="s">
        <v>209</v>
      </c>
      <c r="D65" s="111"/>
      <c r="E65" s="104"/>
      <c r="F65" s="123"/>
      <c r="G65" s="106"/>
      <c r="H65" s="106"/>
      <c r="I65" s="107">
        <v>0</v>
      </c>
      <c r="J65" s="107">
        <v>0</v>
      </c>
      <c r="K65" s="107">
        <v>0</v>
      </c>
      <c r="L65" s="107">
        <f t="shared" si="0"/>
        <v>0</v>
      </c>
      <c r="M65" s="107">
        <f t="shared" si="1"/>
        <v>0</v>
      </c>
      <c r="N65" s="107">
        <f t="shared" si="2"/>
        <v>0</v>
      </c>
      <c r="O65" s="108"/>
      <c r="P65" s="112"/>
    </row>
    <row r="66" ht="97" customHeight="1" spans="1:16">
      <c r="A66" s="104">
        <v>62</v>
      </c>
      <c r="B66" s="104" t="s">
        <v>210</v>
      </c>
      <c r="C66" s="111" t="s">
        <v>211</v>
      </c>
      <c r="D66" s="111" t="s">
        <v>212</v>
      </c>
      <c r="E66" s="113" t="s">
        <v>59</v>
      </c>
      <c r="F66" s="120">
        <v>731</v>
      </c>
      <c r="G66" s="106"/>
      <c r="H66" s="106"/>
      <c r="I66" s="107">
        <v>823.89926460177</v>
      </c>
      <c r="J66" s="107">
        <v>275</v>
      </c>
      <c r="K66" s="107">
        <v>100</v>
      </c>
      <c r="L66" s="107">
        <f t="shared" si="0"/>
        <v>602270.362423894</v>
      </c>
      <c r="M66" s="107">
        <f t="shared" si="1"/>
        <v>201025</v>
      </c>
      <c r="N66" s="107">
        <f t="shared" si="2"/>
        <v>73100</v>
      </c>
      <c r="O66" s="108"/>
      <c r="P66" s="112" t="s">
        <v>213</v>
      </c>
    </row>
    <row r="67" ht="33" customHeight="1" spans="1:16">
      <c r="A67" s="104">
        <v>63</v>
      </c>
      <c r="B67" s="104" t="s">
        <v>214</v>
      </c>
      <c r="C67" s="111" t="s">
        <v>215</v>
      </c>
      <c r="D67" s="111" t="s">
        <v>63</v>
      </c>
      <c r="E67" s="116" t="s">
        <v>64</v>
      </c>
      <c r="F67" s="120">
        <v>51.2</v>
      </c>
      <c r="G67" s="106"/>
      <c r="H67" s="106"/>
      <c r="I67" s="107">
        <v>5361.39168141593</v>
      </c>
      <c r="J67" s="107">
        <v>3500</v>
      </c>
      <c r="K67" s="107">
        <v>900</v>
      </c>
      <c r="L67" s="107">
        <f t="shared" si="0"/>
        <v>274503.254088496</v>
      </c>
      <c r="M67" s="107">
        <f t="shared" si="1"/>
        <v>179200</v>
      </c>
      <c r="N67" s="107">
        <f t="shared" si="2"/>
        <v>46080</v>
      </c>
      <c r="O67" s="108"/>
      <c r="P67" s="112" t="s">
        <v>65</v>
      </c>
    </row>
    <row r="68" ht="57" customHeight="1" spans="1:16">
      <c r="A68" s="104">
        <v>64</v>
      </c>
      <c r="B68" s="104" t="s">
        <v>216</v>
      </c>
      <c r="C68" s="111" t="s">
        <v>217</v>
      </c>
      <c r="D68" s="111" t="s">
        <v>218</v>
      </c>
      <c r="E68" s="113" t="s">
        <v>59</v>
      </c>
      <c r="F68" s="120">
        <v>210</v>
      </c>
      <c r="G68" s="106"/>
      <c r="H68" s="106"/>
      <c r="I68" s="107">
        <v>193.89574</v>
      </c>
      <c r="J68" s="107">
        <v>0</v>
      </c>
      <c r="K68" s="107">
        <v>10</v>
      </c>
      <c r="L68" s="107">
        <f t="shared" si="0"/>
        <v>40718.1054</v>
      </c>
      <c r="M68" s="107">
        <f t="shared" si="1"/>
        <v>0</v>
      </c>
      <c r="N68" s="107">
        <f t="shared" si="2"/>
        <v>2100</v>
      </c>
      <c r="O68" s="108"/>
      <c r="P68" s="112" t="s">
        <v>219</v>
      </c>
    </row>
    <row r="69" ht="22" customHeight="1" spans="1:16">
      <c r="A69" s="104">
        <v>65</v>
      </c>
      <c r="B69" s="104">
        <v>2</v>
      </c>
      <c r="C69" s="122" t="s">
        <v>220</v>
      </c>
      <c r="D69" s="119"/>
      <c r="E69" s="104"/>
      <c r="F69" s="128"/>
      <c r="G69" s="106"/>
      <c r="H69" s="106"/>
      <c r="I69" s="107">
        <v>0</v>
      </c>
      <c r="J69" s="107">
        <v>0</v>
      </c>
      <c r="K69" s="107">
        <v>0</v>
      </c>
      <c r="L69" s="107">
        <f>SUM(L70:L111)</f>
        <v>369840.316300885</v>
      </c>
      <c r="M69" s="107">
        <f>SUM(M70:M111)</f>
        <v>75000</v>
      </c>
      <c r="N69" s="107">
        <f>SUM(N70:N111)</f>
        <v>206460</v>
      </c>
      <c r="O69" s="129"/>
      <c r="P69" s="130"/>
    </row>
    <row r="70" ht="22" customHeight="1" spans="1:16">
      <c r="A70" s="104">
        <v>66</v>
      </c>
      <c r="B70" s="104" t="s">
        <v>221</v>
      </c>
      <c r="C70" s="122" t="s">
        <v>222</v>
      </c>
      <c r="D70" s="119"/>
      <c r="E70" s="104"/>
      <c r="F70" s="128"/>
      <c r="G70" s="106"/>
      <c r="H70" s="106"/>
      <c r="I70" s="107">
        <v>0</v>
      </c>
      <c r="J70" s="107">
        <v>0</v>
      </c>
      <c r="K70" s="107">
        <v>0</v>
      </c>
      <c r="L70" s="107">
        <f t="shared" si="0"/>
        <v>0</v>
      </c>
      <c r="M70" s="107">
        <f t="shared" si="1"/>
        <v>0</v>
      </c>
      <c r="N70" s="107">
        <f t="shared" si="2"/>
        <v>0</v>
      </c>
      <c r="O70" s="129"/>
      <c r="P70" s="130"/>
    </row>
    <row r="71" ht="120" customHeight="1" spans="1:16">
      <c r="A71" s="104">
        <v>67</v>
      </c>
      <c r="B71" s="104" t="s">
        <v>223</v>
      </c>
      <c r="C71" s="121" t="s">
        <v>224</v>
      </c>
      <c r="D71" s="111"/>
      <c r="E71" s="104" t="s">
        <v>225</v>
      </c>
      <c r="F71" s="128">
        <v>10</v>
      </c>
      <c r="G71" s="106">
        <v>4</v>
      </c>
      <c r="H71" s="106">
        <v>40</v>
      </c>
      <c r="I71" s="107">
        <v>1033.32</v>
      </c>
      <c r="J71" s="107">
        <v>0</v>
      </c>
      <c r="K71" s="107">
        <v>800</v>
      </c>
      <c r="L71" s="107">
        <f t="shared" ref="L71:L134" si="3">F71*I71</f>
        <v>10333.2</v>
      </c>
      <c r="M71" s="107">
        <f t="shared" ref="M71:M134" si="4">F71*J71</f>
        <v>0</v>
      </c>
      <c r="N71" s="107">
        <f t="shared" ref="N71:N134" si="5">F71*K71</f>
        <v>8000</v>
      </c>
      <c r="O71" s="129"/>
      <c r="P71" s="112" t="s">
        <v>226</v>
      </c>
    </row>
    <row r="72" ht="22" customHeight="1" spans="1:16">
      <c r="A72" s="104">
        <v>68</v>
      </c>
      <c r="B72" s="104" t="s">
        <v>227</v>
      </c>
      <c r="C72" s="121" t="s">
        <v>228</v>
      </c>
      <c r="D72" s="111"/>
      <c r="E72" s="104" t="s">
        <v>229</v>
      </c>
      <c r="F72" s="128">
        <v>2</v>
      </c>
      <c r="G72" s="106">
        <v>16</v>
      </c>
      <c r="H72" s="106">
        <v>32</v>
      </c>
      <c r="I72" s="107">
        <v>1033.32</v>
      </c>
      <c r="J72" s="107">
        <v>0</v>
      </c>
      <c r="K72" s="107">
        <v>800</v>
      </c>
      <c r="L72" s="107">
        <f t="shared" si="3"/>
        <v>2066.64</v>
      </c>
      <c r="M72" s="107">
        <f t="shared" si="4"/>
        <v>0</v>
      </c>
      <c r="N72" s="107">
        <f t="shared" si="5"/>
        <v>1600</v>
      </c>
      <c r="O72" s="129"/>
      <c r="P72" s="130" t="s">
        <v>77</v>
      </c>
    </row>
    <row r="73" ht="22" customHeight="1" spans="1:16">
      <c r="A73" s="104">
        <v>69</v>
      </c>
      <c r="B73" s="104" t="s">
        <v>230</v>
      </c>
      <c r="C73" s="121" t="s">
        <v>231</v>
      </c>
      <c r="D73" s="111"/>
      <c r="E73" s="104" t="s">
        <v>229</v>
      </c>
      <c r="F73" s="128">
        <v>2</v>
      </c>
      <c r="G73" s="106">
        <v>10.5</v>
      </c>
      <c r="H73" s="106">
        <v>21</v>
      </c>
      <c r="I73" s="107">
        <v>1033.32</v>
      </c>
      <c r="J73" s="107">
        <v>0</v>
      </c>
      <c r="K73" s="107">
        <v>800</v>
      </c>
      <c r="L73" s="107">
        <f t="shared" si="3"/>
        <v>2066.64</v>
      </c>
      <c r="M73" s="107">
        <f t="shared" si="4"/>
        <v>0</v>
      </c>
      <c r="N73" s="107">
        <f t="shared" si="5"/>
        <v>1600</v>
      </c>
      <c r="O73" s="129"/>
      <c r="P73" s="130" t="s">
        <v>77</v>
      </c>
    </row>
    <row r="74" ht="22" customHeight="1" spans="1:16">
      <c r="A74" s="104">
        <v>70</v>
      </c>
      <c r="B74" s="104" t="s">
        <v>232</v>
      </c>
      <c r="C74" s="121" t="s">
        <v>233</v>
      </c>
      <c r="D74" s="111"/>
      <c r="E74" s="104" t="s">
        <v>229</v>
      </c>
      <c r="F74" s="104">
        <v>2</v>
      </c>
      <c r="G74" s="106">
        <v>15.5</v>
      </c>
      <c r="H74" s="106">
        <v>31</v>
      </c>
      <c r="I74" s="107">
        <v>1033.32</v>
      </c>
      <c r="J74" s="107">
        <v>0</v>
      </c>
      <c r="K74" s="107">
        <v>800</v>
      </c>
      <c r="L74" s="107">
        <f t="shared" si="3"/>
        <v>2066.64</v>
      </c>
      <c r="M74" s="107">
        <f t="shared" si="4"/>
        <v>0</v>
      </c>
      <c r="N74" s="107">
        <f t="shared" si="5"/>
        <v>1600</v>
      </c>
      <c r="O74" s="129"/>
      <c r="P74" s="130" t="s">
        <v>77</v>
      </c>
    </row>
    <row r="75" ht="22" customHeight="1" spans="1:16">
      <c r="A75" s="104">
        <v>71</v>
      </c>
      <c r="B75" s="104" t="s">
        <v>234</v>
      </c>
      <c r="C75" s="121" t="s">
        <v>235</v>
      </c>
      <c r="D75" s="111"/>
      <c r="E75" s="104" t="s">
        <v>229</v>
      </c>
      <c r="F75" s="104">
        <v>2</v>
      </c>
      <c r="G75" s="106">
        <v>1.5</v>
      </c>
      <c r="H75" s="106">
        <v>3</v>
      </c>
      <c r="I75" s="107">
        <v>1033.32</v>
      </c>
      <c r="J75" s="107">
        <v>0</v>
      </c>
      <c r="K75" s="107">
        <v>800</v>
      </c>
      <c r="L75" s="107">
        <f t="shared" si="3"/>
        <v>2066.64</v>
      </c>
      <c r="M75" s="107">
        <f t="shared" si="4"/>
        <v>0</v>
      </c>
      <c r="N75" s="107">
        <f t="shared" si="5"/>
        <v>1600</v>
      </c>
      <c r="O75" s="129"/>
      <c r="P75" s="130" t="s">
        <v>77</v>
      </c>
    </row>
    <row r="76" ht="22" customHeight="1" spans="1:16">
      <c r="A76" s="104">
        <v>72</v>
      </c>
      <c r="B76" s="104" t="s">
        <v>236</v>
      </c>
      <c r="C76" s="121" t="s">
        <v>237</v>
      </c>
      <c r="D76" s="111"/>
      <c r="E76" s="104" t="s">
        <v>229</v>
      </c>
      <c r="F76" s="104">
        <v>2</v>
      </c>
      <c r="G76" s="106">
        <v>2</v>
      </c>
      <c r="H76" s="106">
        <v>4</v>
      </c>
      <c r="I76" s="107">
        <v>1033.32</v>
      </c>
      <c r="J76" s="107">
        <v>0</v>
      </c>
      <c r="K76" s="107">
        <v>800</v>
      </c>
      <c r="L76" s="107">
        <f t="shared" si="3"/>
        <v>2066.64</v>
      </c>
      <c r="M76" s="107">
        <f t="shared" si="4"/>
        <v>0</v>
      </c>
      <c r="N76" s="107">
        <f t="shared" si="5"/>
        <v>1600</v>
      </c>
      <c r="O76" s="129"/>
      <c r="P76" s="130" t="s">
        <v>77</v>
      </c>
    </row>
    <row r="77" ht="22" customHeight="1" spans="1:16">
      <c r="A77" s="104">
        <v>73</v>
      </c>
      <c r="B77" s="104" t="s">
        <v>238</v>
      </c>
      <c r="C77" s="121" t="s">
        <v>239</v>
      </c>
      <c r="D77" s="111"/>
      <c r="E77" s="104" t="s">
        <v>229</v>
      </c>
      <c r="F77" s="104">
        <v>2</v>
      </c>
      <c r="G77" s="106">
        <v>0.5</v>
      </c>
      <c r="H77" s="106">
        <v>1</v>
      </c>
      <c r="I77" s="107">
        <v>1033.32</v>
      </c>
      <c r="J77" s="107">
        <v>0</v>
      </c>
      <c r="K77" s="107">
        <v>800</v>
      </c>
      <c r="L77" s="107">
        <f t="shared" si="3"/>
        <v>2066.64</v>
      </c>
      <c r="M77" s="107">
        <f t="shared" si="4"/>
        <v>0</v>
      </c>
      <c r="N77" s="107">
        <f t="shared" si="5"/>
        <v>1600</v>
      </c>
      <c r="O77" s="129"/>
      <c r="P77" s="130" t="s">
        <v>77</v>
      </c>
    </row>
    <row r="78" ht="22" customHeight="1" spans="1:16">
      <c r="A78" s="104">
        <v>74</v>
      </c>
      <c r="B78" s="104" t="s">
        <v>240</v>
      </c>
      <c r="C78" s="121" t="s">
        <v>241</v>
      </c>
      <c r="D78" s="111"/>
      <c r="E78" s="104" t="s">
        <v>229</v>
      </c>
      <c r="F78" s="104">
        <v>2</v>
      </c>
      <c r="G78" s="106">
        <v>2.5</v>
      </c>
      <c r="H78" s="106">
        <v>5</v>
      </c>
      <c r="I78" s="107">
        <v>1033.32</v>
      </c>
      <c r="J78" s="107">
        <v>0</v>
      </c>
      <c r="K78" s="107">
        <v>800</v>
      </c>
      <c r="L78" s="107">
        <f t="shared" si="3"/>
        <v>2066.64</v>
      </c>
      <c r="M78" s="107">
        <f t="shared" si="4"/>
        <v>0</v>
      </c>
      <c r="N78" s="107">
        <f t="shared" si="5"/>
        <v>1600</v>
      </c>
      <c r="O78" s="129"/>
      <c r="P78" s="130" t="s">
        <v>77</v>
      </c>
    </row>
    <row r="79" ht="22" customHeight="1" spans="1:16">
      <c r="A79" s="104">
        <v>75</v>
      </c>
      <c r="B79" s="104" t="s">
        <v>242</v>
      </c>
      <c r="C79" s="121" t="s">
        <v>243</v>
      </c>
      <c r="D79" s="111"/>
      <c r="E79" s="104" t="s">
        <v>229</v>
      </c>
      <c r="F79" s="104">
        <v>2</v>
      </c>
      <c r="G79" s="106">
        <v>2</v>
      </c>
      <c r="H79" s="106">
        <v>4</v>
      </c>
      <c r="I79" s="107">
        <v>1033.32</v>
      </c>
      <c r="J79" s="107">
        <v>0</v>
      </c>
      <c r="K79" s="107">
        <v>800</v>
      </c>
      <c r="L79" s="107">
        <f t="shared" si="3"/>
        <v>2066.64</v>
      </c>
      <c r="M79" s="107">
        <f t="shared" si="4"/>
        <v>0</v>
      </c>
      <c r="N79" s="107">
        <f t="shared" si="5"/>
        <v>1600</v>
      </c>
      <c r="O79" s="129"/>
      <c r="P79" s="130" t="s">
        <v>77</v>
      </c>
    </row>
    <row r="80" ht="22" customHeight="1" spans="1:16">
      <c r="A80" s="104">
        <v>76</v>
      </c>
      <c r="B80" s="104" t="s">
        <v>244</v>
      </c>
      <c r="C80" s="121" t="s">
        <v>245</v>
      </c>
      <c r="D80" s="111"/>
      <c r="E80" s="104" t="s">
        <v>229</v>
      </c>
      <c r="F80" s="104">
        <v>2</v>
      </c>
      <c r="G80" s="106">
        <v>2.5</v>
      </c>
      <c r="H80" s="106">
        <v>5</v>
      </c>
      <c r="I80" s="107">
        <v>1033.32</v>
      </c>
      <c r="J80" s="107">
        <v>0</v>
      </c>
      <c r="K80" s="107">
        <v>800</v>
      </c>
      <c r="L80" s="107">
        <f t="shared" si="3"/>
        <v>2066.64</v>
      </c>
      <c r="M80" s="107">
        <f t="shared" si="4"/>
        <v>0</v>
      </c>
      <c r="N80" s="107">
        <f t="shared" si="5"/>
        <v>1600</v>
      </c>
      <c r="O80" s="129"/>
      <c r="P80" s="130" t="s">
        <v>77</v>
      </c>
    </row>
    <row r="81" ht="22" customHeight="1" spans="1:16">
      <c r="A81" s="104">
        <v>77</v>
      </c>
      <c r="B81" s="104" t="s">
        <v>246</v>
      </c>
      <c r="C81" s="121" t="s">
        <v>247</v>
      </c>
      <c r="D81" s="111"/>
      <c r="E81" s="104" t="s">
        <v>229</v>
      </c>
      <c r="F81" s="104">
        <v>2</v>
      </c>
      <c r="G81" s="106">
        <v>0.1</v>
      </c>
      <c r="H81" s="106">
        <v>0.2</v>
      </c>
      <c r="I81" s="107">
        <v>1033.32</v>
      </c>
      <c r="J81" s="107">
        <v>0</v>
      </c>
      <c r="K81" s="107">
        <v>800</v>
      </c>
      <c r="L81" s="107">
        <f t="shared" si="3"/>
        <v>2066.64</v>
      </c>
      <c r="M81" s="107">
        <f t="shared" si="4"/>
        <v>0</v>
      </c>
      <c r="N81" s="107">
        <f t="shared" si="5"/>
        <v>1600</v>
      </c>
      <c r="O81" s="129"/>
      <c r="P81" s="130" t="s">
        <v>77</v>
      </c>
    </row>
    <row r="82" ht="22" customHeight="1" spans="1:16">
      <c r="A82" s="104">
        <v>78</v>
      </c>
      <c r="B82" s="104" t="s">
        <v>248</v>
      </c>
      <c r="C82" s="121" t="s">
        <v>249</v>
      </c>
      <c r="D82" s="111"/>
      <c r="E82" s="104" t="s">
        <v>229</v>
      </c>
      <c r="F82" s="104">
        <v>2</v>
      </c>
      <c r="G82" s="106">
        <v>4</v>
      </c>
      <c r="H82" s="106">
        <v>8</v>
      </c>
      <c r="I82" s="107">
        <v>1033.32</v>
      </c>
      <c r="J82" s="107">
        <v>0</v>
      </c>
      <c r="K82" s="107">
        <v>800</v>
      </c>
      <c r="L82" s="107">
        <f t="shared" si="3"/>
        <v>2066.64</v>
      </c>
      <c r="M82" s="107">
        <f t="shared" si="4"/>
        <v>0</v>
      </c>
      <c r="N82" s="107">
        <f t="shared" si="5"/>
        <v>1600</v>
      </c>
      <c r="O82" s="129"/>
      <c r="P82" s="130" t="s">
        <v>77</v>
      </c>
    </row>
    <row r="83" ht="22" customHeight="1" spans="1:16">
      <c r="A83" s="104">
        <v>79</v>
      </c>
      <c r="B83" s="104" t="s">
        <v>250</v>
      </c>
      <c r="C83" s="121" t="s">
        <v>251</v>
      </c>
      <c r="D83" s="111"/>
      <c r="E83" s="104" t="s">
        <v>229</v>
      </c>
      <c r="F83" s="104">
        <v>2</v>
      </c>
      <c r="G83" s="106">
        <v>3</v>
      </c>
      <c r="H83" s="106">
        <v>6</v>
      </c>
      <c r="I83" s="107">
        <v>1033.32</v>
      </c>
      <c r="J83" s="107">
        <v>0</v>
      </c>
      <c r="K83" s="107">
        <v>800</v>
      </c>
      <c r="L83" s="107">
        <f t="shared" si="3"/>
        <v>2066.64</v>
      </c>
      <c r="M83" s="107">
        <f t="shared" si="4"/>
        <v>0</v>
      </c>
      <c r="N83" s="107">
        <f t="shared" si="5"/>
        <v>1600</v>
      </c>
      <c r="O83" s="129"/>
      <c r="P83" s="130" t="s">
        <v>77</v>
      </c>
    </row>
    <row r="84" ht="22" customHeight="1" spans="1:16">
      <c r="A84" s="104">
        <v>80</v>
      </c>
      <c r="B84" s="104" t="s">
        <v>252</v>
      </c>
      <c r="C84" s="121" t="s">
        <v>253</v>
      </c>
      <c r="D84" s="111"/>
      <c r="E84" s="104" t="s">
        <v>229</v>
      </c>
      <c r="F84" s="104">
        <v>2</v>
      </c>
      <c r="G84" s="106">
        <v>1.5</v>
      </c>
      <c r="H84" s="106">
        <v>3</v>
      </c>
      <c r="I84" s="107">
        <v>1033.32</v>
      </c>
      <c r="J84" s="107">
        <v>0</v>
      </c>
      <c r="K84" s="107">
        <v>800</v>
      </c>
      <c r="L84" s="107">
        <f t="shared" si="3"/>
        <v>2066.64</v>
      </c>
      <c r="M84" s="107">
        <f t="shared" si="4"/>
        <v>0</v>
      </c>
      <c r="N84" s="107">
        <f t="shared" si="5"/>
        <v>1600</v>
      </c>
      <c r="O84" s="129"/>
      <c r="P84" s="130" t="s">
        <v>77</v>
      </c>
    </row>
    <row r="85" ht="22" customHeight="1" spans="1:16">
      <c r="A85" s="104">
        <v>81</v>
      </c>
      <c r="B85" s="104" t="s">
        <v>254</v>
      </c>
      <c r="C85" s="121" t="s">
        <v>255</v>
      </c>
      <c r="D85" s="111"/>
      <c r="E85" s="104" t="s">
        <v>229</v>
      </c>
      <c r="F85" s="104">
        <v>1</v>
      </c>
      <c r="G85" s="106">
        <v>12</v>
      </c>
      <c r="H85" s="106">
        <v>12</v>
      </c>
      <c r="I85" s="107">
        <v>1291.65</v>
      </c>
      <c r="J85" s="107">
        <v>0</v>
      </c>
      <c r="K85" s="107">
        <v>1000</v>
      </c>
      <c r="L85" s="107">
        <f t="shared" si="3"/>
        <v>1291.65</v>
      </c>
      <c r="M85" s="107">
        <f t="shared" si="4"/>
        <v>0</v>
      </c>
      <c r="N85" s="107">
        <f t="shared" si="5"/>
        <v>1000</v>
      </c>
      <c r="O85" s="129"/>
      <c r="P85" s="130" t="s">
        <v>77</v>
      </c>
    </row>
    <row r="86" ht="22" customHeight="1" spans="1:16">
      <c r="A86" s="104">
        <v>82</v>
      </c>
      <c r="B86" s="104" t="s">
        <v>256</v>
      </c>
      <c r="C86" s="121" t="s">
        <v>257</v>
      </c>
      <c r="D86" s="111"/>
      <c r="E86" s="104" t="s">
        <v>258</v>
      </c>
      <c r="F86" s="104">
        <v>2</v>
      </c>
      <c r="G86" s="106">
        <v>1</v>
      </c>
      <c r="H86" s="106">
        <v>2</v>
      </c>
      <c r="I86" s="107">
        <v>1937.475</v>
      </c>
      <c r="J86" s="107">
        <v>0</v>
      </c>
      <c r="K86" s="107">
        <v>1500</v>
      </c>
      <c r="L86" s="107">
        <f t="shared" si="3"/>
        <v>3874.95</v>
      </c>
      <c r="M86" s="107">
        <f t="shared" si="4"/>
        <v>0</v>
      </c>
      <c r="N86" s="107">
        <f t="shared" si="5"/>
        <v>3000</v>
      </c>
      <c r="O86" s="129"/>
      <c r="P86" s="130" t="s">
        <v>77</v>
      </c>
    </row>
    <row r="87" ht="22" customHeight="1" spans="1:16">
      <c r="A87" s="104">
        <v>83</v>
      </c>
      <c r="B87" s="104" t="s">
        <v>259</v>
      </c>
      <c r="C87" s="121" t="s">
        <v>260</v>
      </c>
      <c r="D87" s="111"/>
      <c r="E87" s="104" t="s">
        <v>258</v>
      </c>
      <c r="F87" s="104">
        <v>4</v>
      </c>
      <c r="G87" s="106">
        <v>0.1</v>
      </c>
      <c r="H87" s="106">
        <v>0.4</v>
      </c>
      <c r="I87" s="107">
        <v>645.825</v>
      </c>
      <c r="J87" s="107">
        <v>0</v>
      </c>
      <c r="K87" s="107">
        <v>500</v>
      </c>
      <c r="L87" s="107">
        <f t="shared" si="3"/>
        <v>2583.3</v>
      </c>
      <c r="M87" s="107">
        <f t="shared" si="4"/>
        <v>0</v>
      </c>
      <c r="N87" s="107">
        <f t="shared" si="5"/>
        <v>2000</v>
      </c>
      <c r="O87" s="129"/>
      <c r="P87" s="130" t="s">
        <v>77</v>
      </c>
    </row>
    <row r="88" ht="22" customHeight="1" spans="1:16">
      <c r="A88" s="104">
        <v>84</v>
      </c>
      <c r="B88" s="104" t="s">
        <v>261</v>
      </c>
      <c r="C88" s="121" t="s">
        <v>262</v>
      </c>
      <c r="D88" s="111"/>
      <c r="E88" s="104" t="s">
        <v>229</v>
      </c>
      <c r="F88" s="104">
        <v>2</v>
      </c>
      <c r="G88" s="106">
        <v>6</v>
      </c>
      <c r="H88" s="106">
        <v>12</v>
      </c>
      <c r="I88" s="107">
        <v>645.825</v>
      </c>
      <c r="J88" s="107">
        <v>0</v>
      </c>
      <c r="K88" s="107">
        <v>500</v>
      </c>
      <c r="L88" s="107">
        <f t="shared" si="3"/>
        <v>1291.65</v>
      </c>
      <c r="M88" s="107">
        <f t="shared" si="4"/>
        <v>0</v>
      </c>
      <c r="N88" s="107">
        <f t="shared" si="5"/>
        <v>1000</v>
      </c>
      <c r="O88" s="129"/>
      <c r="P88" s="130" t="s">
        <v>77</v>
      </c>
    </row>
    <row r="89" ht="22" customHeight="1" spans="1:16">
      <c r="A89" s="104">
        <v>85</v>
      </c>
      <c r="B89" s="104" t="s">
        <v>263</v>
      </c>
      <c r="C89" s="121" t="s">
        <v>264</v>
      </c>
      <c r="D89" s="111"/>
      <c r="E89" s="104" t="s">
        <v>229</v>
      </c>
      <c r="F89" s="104">
        <v>2</v>
      </c>
      <c r="G89" s="106">
        <v>1</v>
      </c>
      <c r="H89" s="106">
        <v>2</v>
      </c>
      <c r="I89" s="107">
        <v>645.825</v>
      </c>
      <c r="J89" s="107">
        <v>0</v>
      </c>
      <c r="K89" s="107">
        <v>500</v>
      </c>
      <c r="L89" s="107">
        <f t="shared" si="3"/>
        <v>1291.65</v>
      </c>
      <c r="M89" s="107">
        <f t="shared" si="4"/>
        <v>0</v>
      </c>
      <c r="N89" s="107">
        <f t="shared" si="5"/>
        <v>1000</v>
      </c>
      <c r="O89" s="129"/>
      <c r="P89" s="130" t="s">
        <v>77</v>
      </c>
    </row>
    <row r="90" ht="22" customHeight="1" spans="1:16">
      <c r="A90" s="104">
        <v>86</v>
      </c>
      <c r="B90" s="104" t="s">
        <v>265</v>
      </c>
      <c r="C90" s="121" t="s">
        <v>266</v>
      </c>
      <c r="D90" s="111"/>
      <c r="E90" s="104" t="s">
        <v>267</v>
      </c>
      <c r="F90" s="104">
        <v>2</v>
      </c>
      <c r="G90" s="106">
        <v>0.5</v>
      </c>
      <c r="H90" s="106">
        <v>1</v>
      </c>
      <c r="I90" s="107">
        <v>645.825</v>
      </c>
      <c r="J90" s="107">
        <v>0</v>
      </c>
      <c r="K90" s="107">
        <v>500</v>
      </c>
      <c r="L90" s="107">
        <f t="shared" si="3"/>
        <v>1291.65</v>
      </c>
      <c r="M90" s="107">
        <f t="shared" si="4"/>
        <v>0</v>
      </c>
      <c r="N90" s="107">
        <f t="shared" si="5"/>
        <v>1000</v>
      </c>
      <c r="O90" s="129"/>
      <c r="P90" s="130" t="s">
        <v>77</v>
      </c>
    </row>
    <row r="91" ht="22" customHeight="1" spans="1:16">
      <c r="A91" s="104">
        <v>87</v>
      </c>
      <c r="B91" s="104" t="s">
        <v>268</v>
      </c>
      <c r="C91" s="121" t="s">
        <v>269</v>
      </c>
      <c r="D91" s="111"/>
      <c r="E91" s="104" t="s">
        <v>258</v>
      </c>
      <c r="F91" s="104">
        <v>4</v>
      </c>
      <c r="G91" s="106">
        <v>0.2</v>
      </c>
      <c r="H91" s="106">
        <v>0.8</v>
      </c>
      <c r="I91" s="107">
        <v>645.825</v>
      </c>
      <c r="J91" s="107">
        <v>0</v>
      </c>
      <c r="K91" s="107">
        <v>500</v>
      </c>
      <c r="L91" s="107">
        <f t="shared" si="3"/>
        <v>2583.3</v>
      </c>
      <c r="M91" s="107">
        <f t="shared" si="4"/>
        <v>0</v>
      </c>
      <c r="N91" s="107">
        <f t="shared" si="5"/>
        <v>2000</v>
      </c>
      <c r="O91" s="129"/>
      <c r="P91" s="130" t="s">
        <v>77</v>
      </c>
    </row>
    <row r="92" ht="22" customHeight="1" spans="1:16">
      <c r="A92" s="104">
        <v>88</v>
      </c>
      <c r="B92" s="104" t="s">
        <v>270</v>
      </c>
      <c r="C92" s="121" t="s">
        <v>271</v>
      </c>
      <c r="D92" s="111"/>
      <c r="E92" s="104" t="s">
        <v>258</v>
      </c>
      <c r="F92" s="104">
        <v>2</v>
      </c>
      <c r="G92" s="106">
        <v>0.05</v>
      </c>
      <c r="H92" s="106">
        <v>0.1</v>
      </c>
      <c r="I92" s="107">
        <v>645.825</v>
      </c>
      <c r="J92" s="107">
        <v>0</v>
      </c>
      <c r="K92" s="107">
        <v>500</v>
      </c>
      <c r="L92" s="107">
        <f t="shared" si="3"/>
        <v>1291.65</v>
      </c>
      <c r="M92" s="107">
        <f t="shared" si="4"/>
        <v>0</v>
      </c>
      <c r="N92" s="107">
        <f t="shared" si="5"/>
        <v>1000</v>
      </c>
      <c r="O92" s="129"/>
      <c r="P92" s="130" t="s">
        <v>77</v>
      </c>
    </row>
    <row r="93" ht="22" customHeight="1" spans="1:16">
      <c r="A93" s="104">
        <v>89</v>
      </c>
      <c r="B93" s="104" t="s">
        <v>272</v>
      </c>
      <c r="C93" s="121" t="s">
        <v>273</v>
      </c>
      <c r="D93" s="111"/>
      <c r="E93" s="104" t="s">
        <v>258</v>
      </c>
      <c r="F93" s="104">
        <v>2</v>
      </c>
      <c r="G93" s="106">
        <v>0.1</v>
      </c>
      <c r="H93" s="106">
        <v>0.2</v>
      </c>
      <c r="I93" s="107">
        <v>645.825</v>
      </c>
      <c r="J93" s="107">
        <v>0</v>
      </c>
      <c r="K93" s="107">
        <v>500</v>
      </c>
      <c r="L93" s="107">
        <f t="shared" si="3"/>
        <v>1291.65</v>
      </c>
      <c r="M93" s="107">
        <f t="shared" si="4"/>
        <v>0</v>
      </c>
      <c r="N93" s="107">
        <f t="shared" si="5"/>
        <v>1000</v>
      </c>
      <c r="O93" s="129"/>
      <c r="P93" s="130" t="s">
        <v>77</v>
      </c>
    </row>
    <row r="94" ht="22" customHeight="1" spans="1:16">
      <c r="A94" s="104">
        <v>90</v>
      </c>
      <c r="B94" s="104" t="s">
        <v>274</v>
      </c>
      <c r="C94" s="121" t="s">
        <v>275</v>
      </c>
      <c r="D94" s="111"/>
      <c r="E94" s="104" t="s">
        <v>258</v>
      </c>
      <c r="F94" s="104">
        <v>2</v>
      </c>
      <c r="G94" s="106">
        <v>0.05</v>
      </c>
      <c r="H94" s="106">
        <v>0.1</v>
      </c>
      <c r="I94" s="107">
        <v>645.825</v>
      </c>
      <c r="J94" s="107">
        <v>0</v>
      </c>
      <c r="K94" s="107">
        <v>500</v>
      </c>
      <c r="L94" s="107">
        <f t="shared" si="3"/>
        <v>1291.65</v>
      </c>
      <c r="M94" s="107">
        <f t="shared" si="4"/>
        <v>0</v>
      </c>
      <c r="N94" s="107">
        <f t="shared" si="5"/>
        <v>1000</v>
      </c>
      <c r="O94" s="129"/>
      <c r="P94" s="130" t="s">
        <v>77</v>
      </c>
    </row>
    <row r="95" ht="22" customHeight="1" spans="1:16">
      <c r="A95" s="104">
        <v>91</v>
      </c>
      <c r="B95" s="104" t="s">
        <v>276</v>
      </c>
      <c r="C95" s="121" t="s">
        <v>277</v>
      </c>
      <c r="D95" s="111"/>
      <c r="E95" s="104" t="s">
        <v>258</v>
      </c>
      <c r="F95" s="104">
        <v>2</v>
      </c>
      <c r="G95" s="106">
        <v>0.1</v>
      </c>
      <c r="H95" s="106">
        <v>0.2</v>
      </c>
      <c r="I95" s="107">
        <v>645.825</v>
      </c>
      <c r="J95" s="107">
        <v>0</v>
      </c>
      <c r="K95" s="107">
        <v>500</v>
      </c>
      <c r="L95" s="107">
        <f t="shared" si="3"/>
        <v>1291.65</v>
      </c>
      <c r="M95" s="107">
        <f t="shared" si="4"/>
        <v>0</v>
      </c>
      <c r="N95" s="107">
        <f t="shared" si="5"/>
        <v>1000</v>
      </c>
      <c r="O95" s="129"/>
      <c r="P95" s="130" t="s">
        <v>77</v>
      </c>
    </row>
    <row r="96" ht="22" customHeight="1" spans="1:16">
      <c r="A96" s="104">
        <v>92</v>
      </c>
      <c r="B96" s="104" t="s">
        <v>278</v>
      </c>
      <c r="C96" s="121" t="s">
        <v>279</v>
      </c>
      <c r="D96" s="111"/>
      <c r="E96" s="104" t="s">
        <v>225</v>
      </c>
      <c r="F96" s="104">
        <v>4</v>
      </c>
      <c r="G96" s="106">
        <v>0.2</v>
      </c>
      <c r="H96" s="106">
        <v>0.8</v>
      </c>
      <c r="I96" s="107">
        <v>645.825</v>
      </c>
      <c r="J96" s="107">
        <v>0</v>
      </c>
      <c r="K96" s="107">
        <v>500</v>
      </c>
      <c r="L96" s="107">
        <f t="shared" si="3"/>
        <v>2583.3</v>
      </c>
      <c r="M96" s="107">
        <f t="shared" si="4"/>
        <v>0</v>
      </c>
      <c r="N96" s="107">
        <f t="shared" si="5"/>
        <v>2000</v>
      </c>
      <c r="O96" s="129"/>
      <c r="P96" s="130" t="s">
        <v>77</v>
      </c>
    </row>
    <row r="97" ht="22" customHeight="1" spans="1:16">
      <c r="A97" s="104">
        <v>93</v>
      </c>
      <c r="B97" s="104" t="s">
        <v>280</v>
      </c>
      <c r="C97" s="121" t="s">
        <v>281</v>
      </c>
      <c r="D97" s="111"/>
      <c r="E97" s="104" t="s">
        <v>258</v>
      </c>
      <c r="F97" s="104">
        <v>2</v>
      </c>
      <c r="G97" s="106">
        <v>45</v>
      </c>
      <c r="H97" s="106">
        <v>90</v>
      </c>
      <c r="I97" s="107">
        <v>645.825</v>
      </c>
      <c r="J97" s="107">
        <v>0</v>
      </c>
      <c r="K97" s="107">
        <v>500</v>
      </c>
      <c r="L97" s="107">
        <f t="shared" si="3"/>
        <v>1291.65</v>
      </c>
      <c r="M97" s="107">
        <f t="shared" si="4"/>
        <v>0</v>
      </c>
      <c r="N97" s="107">
        <f t="shared" si="5"/>
        <v>1000</v>
      </c>
      <c r="O97" s="129"/>
      <c r="P97" s="130" t="s">
        <v>77</v>
      </c>
    </row>
    <row r="98" ht="22" customHeight="1" spans="1:16">
      <c r="A98" s="104">
        <v>94</v>
      </c>
      <c r="B98" s="104" t="s">
        <v>282</v>
      </c>
      <c r="C98" s="121" t="s">
        <v>283</v>
      </c>
      <c r="D98" s="111"/>
      <c r="E98" s="104" t="s">
        <v>258</v>
      </c>
      <c r="F98" s="104">
        <v>2</v>
      </c>
      <c r="G98" s="106">
        <v>18</v>
      </c>
      <c r="H98" s="106">
        <v>36</v>
      </c>
      <c r="I98" s="107">
        <v>645.825</v>
      </c>
      <c r="J98" s="107">
        <v>0</v>
      </c>
      <c r="K98" s="107">
        <v>500</v>
      </c>
      <c r="L98" s="107">
        <f t="shared" si="3"/>
        <v>1291.65</v>
      </c>
      <c r="M98" s="107">
        <f t="shared" si="4"/>
        <v>0</v>
      </c>
      <c r="N98" s="107">
        <f t="shared" si="5"/>
        <v>1000</v>
      </c>
      <c r="O98" s="129"/>
      <c r="P98" s="130" t="s">
        <v>77</v>
      </c>
    </row>
    <row r="99" ht="22" customHeight="1" spans="1:16">
      <c r="A99" s="104">
        <v>95</v>
      </c>
      <c r="B99" s="104" t="s">
        <v>284</v>
      </c>
      <c r="C99" s="121" t="s">
        <v>285</v>
      </c>
      <c r="D99" s="111"/>
      <c r="E99" s="104" t="s">
        <v>229</v>
      </c>
      <c r="F99" s="104">
        <v>2</v>
      </c>
      <c r="G99" s="106"/>
      <c r="H99" s="106"/>
      <c r="I99" s="107">
        <v>2583.3</v>
      </c>
      <c r="J99" s="107">
        <v>0</v>
      </c>
      <c r="K99" s="107">
        <v>2000</v>
      </c>
      <c r="L99" s="107">
        <f t="shared" si="3"/>
        <v>5166.6</v>
      </c>
      <c r="M99" s="107">
        <f t="shared" si="4"/>
        <v>0</v>
      </c>
      <c r="N99" s="107">
        <f t="shared" si="5"/>
        <v>4000</v>
      </c>
      <c r="O99" s="129"/>
      <c r="P99" s="130" t="s">
        <v>77</v>
      </c>
    </row>
    <row r="100" ht="42" customHeight="1" spans="1:16">
      <c r="A100" s="104">
        <v>96</v>
      </c>
      <c r="B100" s="104" t="s">
        <v>286</v>
      </c>
      <c r="C100" s="121" t="s">
        <v>287</v>
      </c>
      <c r="D100" s="111"/>
      <c r="E100" s="104" t="s">
        <v>229</v>
      </c>
      <c r="F100" s="104">
        <v>2</v>
      </c>
      <c r="G100" s="106"/>
      <c r="H100" s="106"/>
      <c r="I100" s="107">
        <v>3874.95</v>
      </c>
      <c r="J100" s="107">
        <v>0</v>
      </c>
      <c r="K100" s="107">
        <v>3000</v>
      </c>
      <c r="L100" s="107">
        <f t="shared" si="3"/>
        <v>7749.9</v>
      </c>
      <c r="M100" s="107">
        <f t="shared" si="4"/>
        <v>0</v>
      </c>
      <c r="N100" s="107">
        <f t="shared" si="5"/>
        <v>6000</v>
      </c>
      <c r="O100" s="129"/>
      <c r="P100" s="130" t="s">
        <v>77</v>
      </c>
    </row>
    <row r="101" ht="50" customHeight="1" spans="1:16">
      <c r="A101" s="104">
        <v>97</v>
      </c>
      <c r="B101" s="104" t="s">
        <v>288</v>
      </c>
      <c r="C101" s="121" t="s">
        <v>289</v>
      </c>
      <c r="D101" s="111"/>
      <c r="E101" s="104" t="s">
        <v>229</v>
      </c>
      <c r="F101" s="104">
        <v>32</v>
      </c>
      <c r="G101" s="106">
        <v>25</v>
      </c>
      <c r="H101" s="106">
        <v>800</v>
      </c>
      <c r="I101" s="107">
        <v>103.332</v>
      </c>
      <c r="J101" s="107">
        <v>0</v>
      </c>
      <c r="K101" s="107">
        <v>80</v>
      </c>
      <c r="L101" s="107">
        <f t="shared" si="3"/>
        <v>3306.624</v>
      </c>
      <c r="M101" s="107">
        <f t="shared" si="4"/>
        <v>0</v>
      </c>
      <c r="N101" s="107">
        <f t="shared" si="5"/>
        <v>2560</v>
      </c>
      <c r="O101" s="129"/>
      <c r="P101" s="112" t="s">
        <v>290</v>
      </c>
    </row>
    <row r="102" ht="34" customHeight="1" spans="1:16">
      <c r="A102" s="104">
        <v>98</v>
      </c>
      <c r="B102" s="104" t="s">
        <v>291</v>
      </c>
      <c r="C102" s="121" t="s">
        <v>292</v>
      </c>
      <c r="D102" s="111"/>
      <c r="E102" s="104" t="s">
        <v>229</v>
      </c>
      <c r="F102" s="104">
        <v>2</v>
      </c>
      <c r="G102" s="106">
        <v>0.2</v>
      </c>
      <c r="H102" s="106">
        <v>0.4</v>
      </c>
      <c r="I102" s="107">
        <v>387.495</v>
      </c>
      <c r="J102" s="107">
        <v>0</v>
      </c>
      <c r="K102" s="107">
        <v>300</v>
      </c>
      <c r="L102" s="107">
        <f t="shared" si="3"/>
        <v>774.99</v>
      </c>
      <c r="M102" s="107">
        <f t="shared" si="4"/>
        <v>0</v>
      </c>
      <c r="N102" s="107">
        <f t="shared" si="5"/>
        <v>600</v>
      </c>
      <c r="O102" s="129"/>
      <c r="P102" s="112" t="s">
        <v>293</v>
      </c>
    </row>
    <row r="103" s="95" customFormat="1" ht="112" customHeight="1" spans="1:16">
      <c r="A103" s="104">
        <v>99</v>
      </c>
      <c r="B103" s="104" t="s">
        <v>294</v>
      </c>
      <c r="C103" s="121" t="s">
        <v>295</v>
      </c>
      <c r="D103" s="111"/>
      <c r="E103" s="104" t="s">
        <v>296</v>
      </c>
      <c r="F103" s="104">
        <v>2</v>
      </c>
      <c r="G103" s="106"/>
      <c r="H103" s="106"/>
      <c r="I103" s="107">
        <v>25833</v>
      </c>
      <c r="J103" s="107">
        <v>0</v>
      </c>
      <c r="K103" s="107">
        <v>20000</v>
      </c>
      <c r="L103" s="107">
        <f t="shared" si="3"/>
        <v>51666</v>
      </c>
      <c r="M103" s="107">
        <f t="shared" si="4"/>
        <v>0</v>
      </c>
      <c r="N103" s="107">
        <f t="shared" si="5"/>
        <v>40000</v>
      </c>
      <c r="O103" s="129"/>
      <c r="P103" s="112" t="s">
        <v>297</v>
      </c>
    </row>
    <row r="104" s="95" customFormat="1" ht="22" customHeight="1" spans="1:16">
      <c r="A104" s="104">
        <v>100</v>
      </c>
      <c r="B104" s="104" t="s">
        <v>298</v>
      </c>
      <c r="C104" s="121" t="s">
        <v>299</v>
      </c>
      <c r="D104" s="111"/>
      <c r="E104" s="104" t="s">
        <v>300</v>
      </c>
      <c r="F104" s="104">
        <v>1</v>
      </c>
      <c r="G104" s="106"/>
      <c r="H104" s="106"/>
      <c r="I104" s="107">
        <v>51666</v>
      </c>
      <c r="J104" s="107">
        <v>0</v>
      </c>
      <c r="K104" s="107">
        <v>40000</v>
      </c>
      <c r="L104" s="107">
        <f t="shared" si="3"/>
        <v>51666</v>
      </c>
      <c r="M104" s="107">
        <f t="shared" si="4"/>
        <v>0</v>
      </c>
      <c r="N104" s="107">
        <f t="shared" si="5"/>
        <v>40000</v>
      </c>
      <c r="O104" s="129"/>
      <c r="P104" s="130" t="s">
        <v>77</v>
      </c>
    </row>
    <row r="105" ht="107" customHeight="1" spans="1:16">
      <c r="A105" s="104">
        <v>101</v>
      </c>
      <c r="B105" s="104" t="s">
        <v>301</v>
      </c>
      <c r="C105" s="121" t="s">
        <v>302</v>
      </c>
      <c r="D105" s="111"/>
      <c r="E105" s="104" t="s">
        <v>300</v>
      </c>
      <c r="F105" s="104">
        <v>2</v>
      </c>
      <c r="G105" s="106"/>
      <c r="H105" s="106"/>
      <c r="I105" s="107">
        <v>6458.25</v>
      </c>
      <c r="J105" s="107">
        <v>0</v>
      </c>
      <c r="K105" s="107">
        <v>5000</v>
      </c>
      <c r="L105" s="107">
        <f t="shared" si="3"/>
        <v>12916.5</v>
      </c>
      <c r="M105" s="107">
        <f t="shared" si="4"/>
        <v>0</v>
      </c>
      <c r="N105" s="107">
        <f t="shared" si="5"/>
        <v>10000</v>
      </c>
      <c r="O105" s="129"/>
      <c r="P105" s="112" t="s">
        <v>303</v>
      </c>
    </row>
    <row r="106" ht="22" customHeight="1" spans="1:16">
      <c r="A106" s="104">
        <v>102</v>
      </c>
      <c r="B106" s="104" t="s">
        <v>304</v>
      </c>
      <c r="C106" s="121" t="s">
        <v>305</v>
      </c>
      <c r="D106" s="111"/>
      <c r="E106" s="104" t="s">
        <v>300</v>
      </c>
      <c r="F106" s="104">
        <v>2</v>
      </c>
      <c r="G106" s="106"/>
      <c r="H106" s="106"/>
      <c r="I106" s="107">
        <v>1420.815</v>
      </c>
      <c r="J106" s="107">
        <v>0</v>
      </c>
      <c r="K106" s="107">
        <v>1100</v>
      </c>
      <c r="L106" s="107">
        <f t="shared" si="3"/>
        <v>2841.63</v>
      </c>
      <c r="M106" s="107">
        <f t="shared" si="4"/>
        <v>0</v>
      </c>
      <c r="N106" s="107">
        <f t="shared" si="5"/>
        <v>2200</v>
      </c>
      <c r="O106" s="129"/>
      <c r="P106" s="130" t="s">
        <v>77</v>
      </c>
    </row>
    <row r="107" s="95" customFormat="1" ht="22" customHeight="1" spans="1:16">
      <c r="A107" s="104">
        <v>103</v>
      </c>
      <c r="B107" s="104" t="s">
        <v>306</v>
      </c>
      <c r="C107" s="131" t="s">
        <v>307</v>
      </c>
      <c r="D107" s="105" t="s">
        <v>308</v>
      </c>
      <c r="E107" s="113" t="s">
        <v>229</v>
      </c>
      <c r="F107" s="104">
        <v>1</v>
      </c>
      <c r="G107" s="106"/>
      <c r="H107" s="106"/>
      <c r="I107" s="107">
        <v>51666</v>
      </c>
      <c r="J107" s="107">
        <v>0</v>
      </c>
      <c r="K107" s="107">
        <v>40000</v>
      </c>
      <c r="L107" s="107">
        <f t="shared" si="3"/>
        <v>51666</v>
      </c>
      <c r="M107" s="107">
        <f t="shared" si="4"/>
        <v>0</v>
      </c>
      <c r="N107" s="107">
        <f t="shared" si="5"/>
        <v>40000</v>
      </c>
      <c r="O107" s="129"/>
      <c r="P107" s="130" t="s">
        <v>77</v>
      </c>
    </row>
    <row r="108" ht="22" customHeight="1" spans="1:16">
      <c r="A108" s="104">
        <v>104</v>
      </c>
      <c r="B108" s="104" t="s">
        <v>309</v>
      </c>
      <c r="C108" s="121" t="s">
        <v>310</v>
      </c>
      <c r="D108" s="111"/>
      <c r="E108" s="104" t="s">
        <v>300</v>
      </c>
      <c r="F108" s="104">
        <v>1</v>
      </c>
      <c r="G108" s="106"/>
      <c r="H108" s="106"/>
      <c r="I108" s="107">
        <v>1420.815</v>
      </c>
      <c r="J108" s="107">
        <v>0</v>
      </c>
      <c r="K108" s="107">
        <v>1100</v>
      </c>
      <c r="L108" s="107">
        <f t="shared" si="3"/>
        <v>1420.815</v>
      </c>
      <c r="M108" s="107">
        <f t="shared" si="4"/>
        <v>0</v>
      </c>
      <c r="N108" s="107">
        <f t="shared" si="5"/>
        <v>1100</v>
      </c>
      <c r="O108" s="129"/>
      <c r="P108" s="130" t="s">
        <v>77</v>
      </c>
    </row>
    <row r="109" ht="22" customHeight="1" spans="1:16">
      <c r="A109" s="104">
        <v>105</v>
      </c>
      <c r="B109" s="104">
        <v>2.2</v>
      </c>
      <c r="C109" s="121" t="s">
        <v>311</v>
      </c>
      <c r="D109" s="111"/>
      <c r="E109" s="104"/>
      <c r="F109" s="104"/>
      <c r="G109" s="106"/>
      <c r="H109" s="106"/>
      <c r="I109" s="107">
        <v>0</v>
      </c>
      <c r="J109" s="107">
        <v>0</v>
      </c>
      <c r="K109" s="107">
        <v>0</v>
      </c>
      <c r="L109" s="107">
        <f t="shared" si="3"/>
        <v>0</v>
      </c>
      <c r="M109" s="107">
        <f t="shared" si="4"/>
        <v>0</v>
      </c>
      <c r="N109" s="107">
        <f t="shared" si="5"/>
        <v>0</v>
      </c>
      <c r="O109" s="129"/>
      <c r="P109" s="130"/>
    </row>
    <row r="110" ht="79" customHeight="1" spans="1:16">
      <c r="A110" s="104">
        <v>106</v>
      </c>
      <c r="B110" s="104" t="s">
        <v>312</v>
      </c>
      <c r="C110" s="121" t="s">
        <v>128</v>
      </c>
      <c r="D110" s="111" t="s">
        <v>313</v>
      </c>
      <c r="E110" s="132" t="s">
        <v>59</v>
      </c>
      <c r="F110" s="106">
        <v>9</v>
      </c>
      <c r="G110" s="106"/>
      <c r="H110" s="106"/>
      <c r="I110" s="107">
        <v>2324.97</v>
      </c>
      <c r="J110" s="107">
        <v>0</v>
      </c>
      <c r="K110" s="107">
        <v>300</v>
      </c>
      <c r="L110" s="107">
        <f t="shared" si="3"/>
        <v>20924.73</v>
      </c>
      <c r="M110" s="107">
        <f t="shared" si="4"/>
        <v>0</v>
      </c>
      <c r="N110" s="107">
        <f t="shared" si="5"/>
        <v>2700</v>
      </c>
      <c r="O110" s="129"/>
      <c r="P110" s="112" t="s">
        <v>130</v>
      </c>
    </row>
    <row r="111" s="95" customFormat="1" ht="104" customHeight="1" spans="1:16">
      <c r="A111" s="104">
        <v>107</v>
      </c>
      <c r="B111" s="104" t="s">
        <v>314</v>
      </c>
      <c r="C111" s="131" t="s">
        <v>315</v>
      </c>
      <c r="D111" s="111" t="s">
        <v>63</v>
      </c>
      <c r="E111" s="116" t="s">
        <v>64</v>
      </c>
      <c r="F111" s="106">
        <v>2.5</v>
      </c>
      <c r="G111" s="106"/>
      <c r="H111" s="106"/>
      <c r="I111" s="107">
        <v>39199.862920354</v>
      </c>
      <c r="J111" s="107">
        <v>30000</v>
      </c>
      <c r="K111" s="107">
        <v>3800</v>
      </c>
      <c r="L111" s="107">
        <f t="shared" si="3"/>
        <v>97999.657300885</v>
      </c>
      <c r="M111" s="107">
        <f t="shared" si="4"/>
        <v>75000</v>
      </c>
      <c r="N111" s="107">
        <f t="shared" si="5"/>
        <v>9500</v>
      </c>
      <c r="O111" s="129"/>
      <c r="P111" s="112" t="s">
        <v>316</v>
      </c>
    </row>
    <row r="112" ht="22" customHeight="1" spans="1:16">
      <c r="A112" s="104">
        <v>108</v>
      </c>
      <c r="B112" s="104">
        <v>3</v>
      </c>
      <c r="C112" s="121" t="s">
        <v>317</v>
      </c>
      <c r="D112" s="111"/>
      <c r="E112" s="104"/>
      <c r="F112" s="104"/>
      <c r="G112" s="106"/>
      <c r="H112" s="106"/>
      <c r="I112" s="107">
        <v>0</v>
      </c>
      <c r="J112" s="107">
        <v>0</v>
      </c>
      <c r="K112" s="107">
        <v>0</v>
      </c>
      <c r="L112" s="107">
        <f>SUM(L113:L125)</f>
        <v>110182.416829646</v>
      </c>
      <c r="M112" s="107">
        <f>SUM(M113:M125)</f>
        <v>54750</v>
      </c>
      <c r="N112" s="107">
        <f>SUM(N113:N125)</f>
        <v>35340</v>
      </c>
      <c r="O112" s="129"/>
      <c r="P112" s="130"/>
    </row>
    <row r="113" ht="22" customHeight="1" spans="1:16">
      <c r="A113" s="104">
        <v>109</v>
      </c>
      <c r="B113" s="104" t="s">
        <v>318</v>
      </c>
      <c r="C113" s="121" t="s">
        <v>319</v>
      </c>
      <c r="D113" s="111"/>
      <c r="E113" s="104"/>
      <c r="F113" s="128"/>
      <c r="G113" s="106"/>
      <c r="H113" s="106"/>
      <c r="I113" s="107">
        <v>0</v>
      </c>
      <c r="J113" s="107">
        <v>0</v>
      </c>
      <c r="K113" s="107">
        <v>0</v>
      </c>
      <c r="L113" s="107">
        <f t="shared" si="3"/>
        <v>0</v>
      </c>
      <c r="M113" s="107">
        <f t="shared" si="4"/>
        <v>0</v>
      </c>
      <c r="N113" s="107">
        <f t="shared" si="5"/>
        <v>0</v>
      </c>
      <c r="O113" s="129"/>
      <c r="P113" s="130"/>
    </row>
    <row r="114" ht="114" customHeight="1" spans="1:16">
      <c r="A114" s="104">
        <v>110</v>
      </c>
      <c r="B114" s="104" t="s">
        <v>320</v>
      </c>
      <c r="C114" s="121" t="s">
        <v>321</v>
      </c>
      <c r="D114" s="111" t="s">
        <v>322</v>
      </c>
      <c r="E114" s="104" t="s">
        <v>300</v>
      </c>
      <c r="F114" s="133">
        <v>1</v>
      </c>
      <c r="G114" s="106"/>
      <c r="H114" s="106"/>
      <c r="I114" s="107">
        <v>112.7475</v>
      </c>
      <c r="J114" s="107">
        <v>0</v>
      </c>
      <c r="K114" s="107">
        <v>150</v>
      </c>
      <c r="L114" s="107">
        <f t="shared" si="3"/>
        <v>112.7475</v>
      </c>
      <c r="M114" s="107">
        <f t="shared" si="4"/>
        <v>0</v>
      </c>
      <c r="N114" s="107">
        <f t="shared" si="5"/>
        <v>150</v>
      </c>
      <c r="O114" s="129"/>
      <c r="P114" s="112" t="s">
        <v>323</v>
      </c>
    </row>
    <row r="115" ht="22" customHeight="1" spans="1:16">
      <c r="A115" s="104">
        <v>111</v>
      </c>
      <c r="B115" s="104" t="s">
        <v>324</v>
      </c>
      <c r="C115" s="121" t="s">
        <v>321</v>
      </c>
      <c r="D115" s="111" t="s">
        <v>325</v>
      </c>
      <c r="E115" s="104" t="s">
        <v>300</v>
      </c>
      <c r="F115" s="133">
        <v>4</v>
      </c>
      <c r="G115" s="106"/>
      <c r="H115" s="106"/>
      <c r="I115" s="107">
        <v>161.45625</v>
      </c>
      <c r="J115" s="107">
        <v>0</v>
      </c>
      <c r="K115" s="107">
        <v>125</v>
      </c>
      <c r="L115" s="107">
        <f t="shared" si="3"/>
        <v>645.825</v>
      </c>
      <c r="M115" s="107">
        <f t="shared" si="4"/>
        <v>0</v>
      </c>
      <c r="N115" s="107">
        <f t="shared" si="5"/>
        <v>500</v>
      </c>
      <c r="O115" s="129"/>
      <c r="P115" s="130" t="s">
        <v>77</v>
      </c>
    </row>
    <row r="116" ht="22" customHeight="1" spans="1:16">
      <c r="A116" s="104">
        <v>112</v>
      </c>
      <c r="B116" s="104" t="s">
        <v>326</v>
      </c>
      <c r="C116" s="121" t="s">
        <v>321</v>
      </c>
      <c r="D116" s="111" t="s">
        <v>327</v>
      </c>
      <c r="E116" s="104" t="s">
        <v>300</v>
      </c>
      <c r="F116" s="133">
        <v>4</v>
      </c>
      <c r="G116" s="106"/>
      <c r="H116" s="106"/>
      <c r="I116" s="107">
        <v>96.87375</v>
      </c>
      <c r="J116" s="107">
        <v>0</v>
      </c>
      <c r="K116" s="107">
        <v>75</v>
      </c>
      <c r="L116" s="107">
        <f t="shared" si="3"/>
        <v>387.495</v>
      </c>
      <c r="M116" s="107">
        <f t="shared" si="4"/>
        <v>0</v>
      </c>
      <c r="N116" s="107">
        <f t="shared" si="5"/>
        <v>300</v>
      </c>
      <c r="O116" s="129"/>
      <c r="P116" s="130" t="s">
        <v>77</v>
      </c>
    </row>
    <row r="117" ht="22" customHeight="1" spans="1:16">
      <c r="A117" s="104">
        <v>113</v>
      </c>
      <c r="B117" s="104" t="s">
        <v>328</v>
      </c>
      <c r="C117" s="121" t="s">
        <v>329</v>
      </c>
      <c r="D117" s="119" t="s">
        <v>330</v>
      </c>
      <c r="E117" s="104" t="s">
        <v>331</v>
      </c>
      <c r="F117" s="104">
        <v>1</v>
      </c>
      <c r="G117" s="106"/>
      <c r="H117" s="106"/>
      <c r="I117" s="107">
        <v>129.165</v>
      </c>
      <c r="J117" s="107">
        <v>0</v>
      </c>
      <c r="K117" s="107">
        <v>100</v>
      </c>
      <c r="L117" s="107">
        <f t="shared" si="3"/>
        <v>129.165</v>
      </c>
      <c r="M117" s="107">
        <f t="shared" si="4"/>
        <v>0</v>
      </c>
      <c r="N117" s="107">
        <f t="shared" si="5"/>
        <v>100</v>
      </c>
      <c r="O117" s="129"/>
      <c r="P117" s="130" t="s">
        <v>77</v>
      </c>
    </row>
    <row r="118" ht="22" customHeight="1" spans="1:16">
      <c r="A118" s="104">
        <v>114</v>
      </c>
      <c r="B118" s="104" t="s">
        <v>332</v>
      </c>
      <c r="C118" s="121" t="s">
        <v>329</v>
      </c>
      <c r="D118" s="119" t="s">
        <v>333</v>
      </c>
      <c r="E118" s="104" t="s">
        <v>331</v>
      </c>
      <c r="F118" s="104">
        <v>8</v>
      </c>
      <c r="G118" s="106"/>
      <c r="H118" s="106"/>
      <c r="I118" s="107">
        <v>38.7495</v>
      </c>
      <c r="J118" s="107">
        <v>0</v>
      </c>
      <c r="K118" s="107">
        <v>30</v>
      </c>
      <c r="L118" s="107">
        <f t="shared" si="3"/>
        <v>309.996</v>
      </c>
      <c r="M118" s="107">
        <f t="shared" si="4"/>
        <v>0</v>
      </c>
      <c r="N118" s="107">
        <f t="shared" si="5"/>
        <v>240</v>
      </c>
      <c r="O118" s="129"/>
      <c r="P118" s="130" t="s">
        <v>77</v>
      </c>
    </row>
    <row r="119" ht="22" customHeight="1" spans="1:16">
      <c r="A119" s="104">
        <v>115</v>
      </c>
      <c r="B119" s="104" t="s">
        <v>334</v>
      </c>
      <c r="C119" s="122" t="s">
        <v>335</v>
      </c>
      <c r="D119" s="111"/>
      <c r="E119" s="104" t="s">
        <v>331</v>
      </c>
      <c r="F119" s="104">
        <v>8</v>
      </c>
      <c r="G119" s="106"/>
      <c r="H119" s="106"/>
      <c r="I119" s="107">
        <v>645.825</v>
      </c>
      <c r="J119" s="107">
        <v>0</v>
      </c>
      <c r="K119" s="107">
        <v>500</v>
      </c>
      <c r="L119" s="107">
        <f t="shared" si="3"/>
        <v>5166.6</v>
      </c>
      <c r="M119" s="107">
        <f t="shared" si="4"/>
        <v>0</v>
      </c>
      <c r="N119" s="107">
        <f t="shared" si="5"/>
        <v>4000</v>
      </c>
      <c r="O119" s="129"/>
      <c r="P119" s="130" t="s">
        <v>77</v>
      </c>
    </row>
    <row r="120" ht="54" customHeight="1" spans="1:16">
      <c r="A120" s="104">
        <v>116</v>
      </c>
      <c r="B120" s="104" t="s">
        <v>336</v>
      </c>
      <c r="C120" s="121" t="s">
        <v>337</v>
      </c>
      <c r="D120" s="111"/>
      <c r="E120" s="104" t="s">
        <v>338</v>
      </c>
      <c r="F120" s="133">
        <v>40</v>
      </c>
      <c r="G120" s="106"/>
      <c r="H120" s="106"/>
      <c r="I120" s="107">
        <v>19.37475</v>
      </c>
      <c r="J120" s="107">
        <v>0</v>
      </c>
      <c r="K120" s="107">
        <v>15</v>
      </c>
      <c r="L120" s="107">
        <f t="shared" si="3"/>
        <v>774.99</v>
      </c>
      <c r="M120" s="107">
        <f t="shared" si="4"/>
        <v>0</v>
      </c>
      <c r="N120" s="107">
        <f t="shared" si="5"/>
        <v>600</v>
      </c>
      <c r="O120" s="129"/>
      <c r="P120" s="112" t="s">
        <v>290</v>
      </c>
    </row>
    <row r="121" ht="22" customHeight="1" spans="1:16">
      <c r="A121" s="104">
        <v>117</v>
      </c>
      <c r="B121" s="104" t="s">
        <v>339</v>
      </c>
      <c r="C121" s="121" t="s">
        <v>340</v>
      </c>
      <c r="D121" s="111"/>
      <c r="E121" s="104" t="s">
        <v>338</v>
      </c>
      <c r="F121" s="133">
        <v>20</v>
      </c>
      <c r="G121" s="106"/>
      <c r="H121" s="106"/>
      <c r="I121" s="107">
        <v>19.37475</v>
      </c>
      <c r="J121" s="107">
        <v>0</v>
      </c>
      <c r="K121" s="107">
        <v>15</v>
      </c>
      <c r="L121" s="107">
        <f t="shared" si="3"/>
        <v>387.495</v>
      </c>
      <c r="M121" s="107">
        <f t="shared" si="4"/>
        <v>0</v>
      </c>
      <c r="N121" s="107">
        <f t="shared" si="5"/>
        <v>300</v>
      </c>
      <c r="O121" s="129"/>
      <c r="P121" s="130" t="s">
        <v>77</v>
      </c>
    </row>
    <row r="122" ht="22" customHeight="1" spans="1:16">
      <c r="A122" s="104">
        <v>118</v>
      </c>
      <c r="B122" s="104" t="s">
        <v>341</v>
      </c>
      <c r="C122" s="121" t="s">
        <v>342</v>
      </c>
      <c r="D122" s="111"/>
      <c r="E122" s="104" t="s">
        <v>338</v>
      </c>
      <c r="F122" s="133">
        <v>30</v>
      </c>
      <c r="G122" s="106"/>
      <c r="H122" s="106"/>
      <c r="I122" s="107">
        <v>38.7495</v>
      </c>
      <c r="J122" s="107">
        <v>0</v>
      </c>
      <c r="K122" s="107">
        <v>30</v>
      </c>
      <c r="L122" s="107">
        <f t="shared" si="3"/>
        <v>1162.485</v>
      </c>
      <c r="M122" s="107">
        <f t="shared" si="4"/>
        <v>0</v>
      </c>
      <c r="N122" s="107">
        <f t="shared" si="5"/>
        <v>900</v>
      </c>
      <c r="O122" s="129"/>
      <c r="P122" s="130" t="s">
        <v>77</v>
      </c>
    </row>
    <row r="123" ht="22" customHeight="1" spans="1:16">
      <c r="A123" s="104">
        <v>119</v>
      </c>
      <c r="B123" s="104">
        <v>3.2</v>
      </c>
      <c r="C123" s="121" t="s">
        <v>311</v>
      </c>
      <c r="D123" s="111"/>
      <c r="E123" s="104"/>
      <c r="F123" s="128"/>
      <c r="G123" s="106"/>
      <c r="H123" s="106"/>
      <c r="I123" s="107">
        <v>0</v>
      </c>
      <c r="J123" s="107">
        <v>0</v>
      </c>
      <c r="K123" s="107">
        <v>0</v>
      </c>
      <c r="L123" s="107">
        <f t="shared" si="3"/>
        <v>0</v>
      </c>
      <c r="M123" s="107">
        <f t="shared" si="4"/>
        <v>0</v>
      </c>
      <c r="N123" s="107">
        <f t="shared" si="5"/>
        <v>0</v>
      </c>
      <c r="O123" s="129"/>
      <c r="P123" s="130"/>
    </row>
    <row r="124" ht="165" customHeight="1" spans="1:16">
      <c r="A124" s="104">
        <v>120</v>
      </c>
      <c r="B124" s="104" t="s">
        <v>343</v>
      </c>
      <c r="C124" s="131" t="s">
        <v>344</v>
      </c>
      <c r="D124" s="111" t="s">
        <v>345</v>
      </c>
      <c r="E124" s="116" t="s">
        <v>346</v>
      </c>
      <c r="F124" s="106">
        <v>10.5</v>
      </c>
      <c r="G124" s="106"/>
      <c r="H124" s="106"/>
      <c r="I124" s="107">
        <v>8695.7764380531</v>
      </c>
      <c r="J124" s="107">
        <v>4500</v>
      </c>
      <c r="K124" s="107">
        <v>2600</v>
      </c>
      <c r="L124" s="107">
        <f t="shared" si="3"/>
        <v>91305.6525995576</v>
      </c>
      <c r="M124" s="107">
        <f t="shared" si="4"/>
        <v>47250</v>
      </c>
      <c r="N124" s="107">
        <f t="shared" si="5"/>
        <v>27300</v>
      </c>
      <c r="O124" s="129"/>
      <c r="P124" s="112" t="s">
        <v>347</v>
      </c>
    </row>
    <row r="125" ht="149" customHeight="1" spans="1:16">
      <c r="A125" s="104">
        <v>121</v>
      </c>
      <c r="B125" s="104" t="s">
        <v>348</v>
      </c>
      <c r="C125" s="122" t="s">
        <v>349</v>
      </c>
      <c r="D125" s="111" t="s">
        <v>345</v>
      </c>
      <c r="E125" s="116" t="s">
        <v>346</v>
      </c>
      <c r="F125" s="133">
        <v>0.25</v>
      </c>
      <c r="G125" s="106"/>
      <c r="H125" s="106"/>
      <c r="I125" s="107">
        <v>39199.862920354</v>
      </c>
      <c r="J125" s="107">
        <v>30000</v>
      </c>
      <c r="K125" s="107">
        <v>3800</v>
      </c>
      <c r="L125" s="107">
        <f t="shared" si="3"/>
        <v>9799.9657300885</v>
      </c>
      <c r="M125" s="107">
        <f t="shared" si="4"/>
        <v>7500</v>
      </c>
      <c r="N125" s="107">
        <f t="shared" si="5"/>
        <v>950</v>
      </c>
      <c r="O125" s="129"/>
      <c r="P125" s="112" t="s">
        <v>350</v>
      </c>
    </row>
    <row r="126" ht="22" customHeight="1" spans="1:16">
      <c r="A126" s="104">
        <v>122</v>
      </c>
      <c r="B126" s="104">
        <v>4</v>
      </c>
      <c r="C126" s="121" t="s">
        <v>351</v>
      </c>
      <c r="D126" s="111"/>
      <c r="E126" s="104"/>
      <c r="F126" s="104"/>
      <c r="G126" s="106"/>
      <c r="H126" s="106"/>
      <c r="I126" s="107">
        <v>0</v>
      </c>
      <c r="J126" s="107">
        <v>0</v>
      </c>
      <c r="K126" s="107">
        <v>0</v>
      </c>
      <c r="L126" s="107">
        <f>SUM(L127:L134)</f>
        <v>27766.4743141593</v>
      </c>
      <c r="M126" s="107">
        <f>SUM(M127:M134)</f>
        <v>13500</v>
      </c>
      <c r="N126" s="107">
        <f>SUM(N127:N134)</f>
        <v>9100</v>
      </c>
      <c r="O126" s="129"/>
      <c r="P126" s="130"/>
    </row>
    <row r="127" ht="22" customHeight="1" spans="1:16">
      <c r="A127" s="104">
        <v>123</v>
      </c>
      <c r="B127" s="104" t="s">
        <v>352</v>
      </c>
      <c r="C127" s="121" t="s">
        <v>319</v>
      </c>
      <c r="D127" s="111"/>
      <c r="E127" s="104"/>
      <c r="F127" s="104"/>
      <c r="G127" s="106"/>
      <c r="H127" s="106"/>
      <c r="I127" s="107">
        <v>0</v>
      </c>
      <c r="J127" s="107">
        <v>0</v>
      </c>
      <c r="K127" s="107">
        <v>0</v>
      </c>
      <c r="L127" s="107">
        <f t="shared" si="3"/>
        <v>0</v>
      </c>
      <c r="M127" s="107">
        <f t="shared" si="4"/>
        <v>0</v>
      </c>
      <c r="N127" s="107">
        <f t="shared" si="5"/>
        <v>0</v>
      </c>
      <c r="O127" s="129"/>
      <c r="P127" s="130"/>
    </row>
    <row r="128" ht="116" customHeight="1" spans="1:16">
      <c r="A128" s="104">
        <v>124</v>
      </c>
      <c r="B128" s="104" t="s">
        <v>353</v>
      </c>
      <c r="C128" s="121" t="s">
        <v>354</v>
      </c>
      <c r="D128" s="111" t="s">
        <v>355</v>
      </c>
      <c r="E128" s="104" t="s">
        <v>331</v>
      </c>
      <c r="F128" s="104">
        <v>1</v>
      </c>
      <c r="G128" s="106"/>
      <c r="H128" s="106"/>
      <c r="I128" s="107">
        <v>258.33</v>
      </c>
      <c r="J128" s="107">
        <v>0</v>
      </c>
      <c r="K128" s="107">
        <v>200</v>
      </c>
      <c r="L128" s="107">
        <f t="shared" si="3"/>
        <v>258.33</v>
      </c>
      <c r="M128" s="107">
        <f t="shared" si="4"/>
        <v>0</v>
      </c>
      <c r="N128" s="107">
        <f t="shared" si="5"/>
        <v>200</v>
      </c>
      <c r="O128" s="129"/>
      <c r="P128" s="112" t="s">
        <v>323</v>
      </c>
    </row>
    <row r="129" ht="22" customHeight="1" spans="1:16">
      <c r="A129" s="104">
        <v>125</v>
      </c>
      <c r="B129" s="104" t="s">
        <v>356</v>
      </c>
      <c r="C129" s="121" t="s">
        <v>357</v>
      </c>
      <c r="D129" s="111" t="s">
        <v>358</v>
      </c>
      <c r="E129" s="104" t="s">
        <v>331</v>
      </c>
      <c r="F129" s="104">
        <v>4</v>
      </c>
      <c r="G129" s="106"/>
      <c r="H129" s="106"/>
      <c r="I129" s="107">
        <v>103.332</v>
      </c>
      <c r="J129" s="107">
        <v>0</v>
      </c>
      <c r="K129" s="107">
        <v>80</v>
      </c>
      <c r="L129" s="107">
        <f t="shared" si="3"/>
        <v>413.328</v>
      </c>
      <c r="M129" s="107">
        <f t="shared" si="4"/>
        <v>0</v>
      </c>
      <c r="N129" s="107">
        <f t="shared" si="5"/>
        <v>320</v>
      </c>
      <c r="O129" s="129"/>
      <c r="P129" s="130" t="s">
        <v>77</v>
      </c>
    </row>
    <row r="130" ht="22" customHeight="1" spans="1:16">
      <c r="A130" s="104">
        <v>126</v>
      </c>
      <c r="B130" s="104" t="s">
        <v>359</v>
      </c>
      <c r="C130" s="121" t="s">
        <v>357</v>
      </c>
      <c r="D130" s="111" t="s">
        <v>360</v>
      </c>
      <c r="E130" s="104" t="s">
        <v>331</v>
      </c>
      <c r="F130" s="104">
        <v>2</v>
      </c>
      <c r="G130" s="106"/>
      <c r="H130" s="106"/>
      <c r="I130" s="107">
        <v>64.5825</v>
      </c>
      <c r="J130" s="107">
        <v>0</v>
      </c>
      <c r="K130" s="107">
        <v>50</v>
      </c>
      <c r="L130" s="107">
        <f t="shared" si="3"/>
        <v>129.165</v>
      </c>
      <c r="M130" s="107">
        <f t="shared" si="4"/>
        <v>0</v>
      </c>
      <c r="N130" s="107">
        <f t="shared" si="5"/>
        <v>100</v>
      </c>
      <c r="O130" s="129"/>
      <c r="P130" s="130" t="s">
        <v>77</v>
      </c>
    </row>
    <row r="131" ht="22" customHeight="1" spans="1:16">
      <c r="A131" s="104">
        <v>127</v>
      </c>
      <c r="B131" s="104" t="s">
        <v>361</v>
      </c>
      <c r="C131" s="121" t="s">
        <v>357</v>
      </c>
      <c r="D131" s="111" t="s">
        <v>333</v>
      </c>
      <c r="E131" s="104" t="s">
        <v>331</v>
      </c>
      <c r="F131" s="104">
        <v>6</v>
      </c>
      <c r="G131" s="106"/>
      <c r="H131" s="106"/>
      <c r="I131" s="107">
        <v>38.7495</v>
      </c>
      <c r="J131" s="107">
        <v>0</v>
      </c>
      <c r="K131" s="107">
        <v>30</v>
      </c>
      <c r="L131" s="107">
        <f t="shared" si="3"/>
        <v>232.497</v>
      </c>
      <c r="M131" s="107">
        <f t="shared" si="4"/>
        <v>0</v>
      </c>
      <c r="N131" s="107">
        <f t="shared" si="5"/>
        <v>180</v>
      </c>
      <c r="O131" s="129"/>
      <c r="P131" s="130" t="s">
        <v>77</v>
      </c>
    </row>
    <row r="132" ht="22" customHeight="1" spans="1:16">
      <c r="A132" s="104">
        <v>128</v>
      </c>
      <c r="B132" s="104" t="s">
        <v>362</v>
      </c>
      <c r="C132" s="121" t="s">
        <v>357</v>
      </c>
      <c r="D132" s="111" t="s">
        <v>363</v>
      </c>
      <c r="E132" s="104" t="s">
        <v>331</v>
      </c>
      <c r="F132" s="104">
        <v>20</v>
      </c>
      <c r="G132" s="106"/>
      <c r="H132" s="106"/>
      <c r="I132" s="107">
        <v>32.29125</v>
      </c>
      <c r="J132" s="107">
        <v>0</v>
      </c>
      <c r="K132" s="107">
        <v>25</v>
      </c>
      <c r="L132" s="107">
        <f t="shared" si="3"/>
        <v>645.825</v>
      </c>
      <c r="M132" s="107">
        <f t="shared" si="4"/>
        <v>0</v>
      </c>
      <c r="N132" s="107">
        <f t="shared" si="5"/>
        <v>500</v>
      </c>
      <c r="O132" s="129"/>
      <c r="P132" s="130" t="s">
        <v>77</v>
      </c>
    </row>
    <row r="133" ht="22" customHeight="1" spans="1:16">
      <c r="A133" s="104">
        <v>129</v>
      </c>
      <c r="B133" s="104">
        <v>4.2</v>
      </c>
      <c r="C133" s="121" t="s">
        <v>311</v>
      </c>
      <c r="D133" s="111"/>
      <c r="E133" s="104"/>
      <c r="F133" s="104"/>
      <c r="G133" s="106"/>
      <c r="H133" s="106"/>
      <c r="I133" s="107">
        <v>0</v>
      </c>
      <c r="J133" s="107">
        <v>0</v>
      </c>
      <c r="K133" s="107">
        <v>0</v>
      </c>
      <c r="L133" s="107">
        <f t="shared" si="3"/>
        <v>0</v>
      </c>
      <c r="M133" s="107">
        <f t="shared" si="4"/>
        <v>0</v>
      </c>
      <c r="N133" s="107">
        <f t="shared" si="5"/>
        <v>0</v>
      </c>
      <c r="O133" s="129"/>
      <c r="P133" s="130"/>
    </row>
    <row r="134" ht="150" customHeight="1" spans="1:16">
      <c r="A134" s="104">
        <v>130</v>
      </c>
      <c r="B134" s="104" t="s">
        <v>364</v>
      </c>
      <c r="C134" s="131" t="s">
        <v>344</v>
      </c>
      <c r="D134" s="111" t="s">
        <v>345</v>
      </c>
      <c r="E134" s="116" t="s">
        <v>346</v>
      </c>
      <c r="F134" s="106">
        <v>3</v>
      </c>
      <c r="G134" s="106"/>
      <c r="H134" s="106"/>
      <c r="I134" s="107">
        <v>8695.7764380531</v>
      </c>
      <c r="J134" s="107">
        <v>4500</v>
      </c>
      <c r="K134" s="107">
        <v>2600</v>
      </c>
      <c r="L134" s="107">
        <f t="shared" si="3"/>
        <v>26087.3293141593</v>
      </c>
      <c r="M134" s="107">
        <f t="shared" si="4"/>
        <v>13500</v>
      </c>
      <c r="N134" s="107">
        <f t="shared" si="5"/>
        <v>7800</v>
      </c>
      <c r="O134" s="129"/>
      <c r="P134" s="112" t="s">
        <v>347</v>
      </c>
    </row>
    <row r="135" ht="22" customHeight="1" spans="1:16">
      <c r="A135" s="104">
        <v>131</v>
      </c>
      <c r="B135" s="104">
        <v>5</v>
      </c>
      <c r="C135" s="121" t="s">
        <v>365</v>
      </c>
      <c r="D135" s="111"/>
      <c r="E135" s="104"/>
      <c r="F135" s="104"/>
      <c r="G135" s="106"/>
      <c r="H135" s="106"/>
      <c r="I135" s="107">
        <v>0</v>
      </c>
      <c r="J135" s="107">
        <v>0</v>
      </c>
      <c r="K135" s="107">
        <v>0</v>
      </c>
      <c r="L135" s="107">
        <f>SUM(L136:L146)</f>
        <v>225284.449261062</v>
      </c>
      <c r="M135" s="107">
        <f>SUM(M136:M146)</f>
        <v>121188</v>
      </c>
      <c r="N135" s="107">
        <f>SUM(N136:N146)</f>
        <v>53648</v>
      </c>
      <c r="O135" s="129"/>
      <c r="P135" s="130"/>
    </row>
    <row r="136" ht="22" customHeight="1" spans="1:16">
      <c r="A136" s="104">
        <v>132</v>
      </c>
      <c r="B136" s="104">
        <v>5.1</v>
      </c>
      <c r="C136" s="121" t="s">
        <v>311</v>
      </c>
      <c r="D136" s="111"/>
      <c r="E136" s="104"/>
      <c r="F136" s="104"/>
      <c r="G136" s="106"/>
      <c r="H136" s="106"/>
      <c r="I136" s="107">
        <v>0</v>
      </c>
      <c r="J136" s="107">
        <v>0</v>
      </c>
      <c r="K136" s="107">
        <v>0</v>
      </c>
      <c r="L136" s="107">
        <f t="shared" ref="L135:L198" si="6">F136*I136</f>
        <v>0</v>
      </c>
      <c r="M136" s="107">
        <f t="shared" ref="M135:M198" si="7">F136*J136</f>
        <v>0</v>
      </c>
      <c r="N136" s="107">
        <f t="shared" ref="N135:N198" si="8">F136*K136</f>
        <v>0</v>
      </c>
      <c r="O136" s="129"/>
      <c r="P136" s="130"/>
    </row>
    <row r="137" ht="141" customHeight="1" spans="1:16">
      <c r="A137" s="104">
        <v>133</v>
      </c>
      <c r="B137" s="104" t="s">
        <v>366</v>
      </c>
      <c r="C137" s="111" t="s">
        <v>367</v>
      </c>
      <c r="D137" s="111" t="s">
        <v>345</v>
      </c>
      <c r="E137" s="116" t="s">
        <v>346</v>
      </c>
      <c r="F137" s="106">
        <v>7.37</v>
      </c>
      <c r="G137" s="106"/>
      <c r="H137" s="106"/>
      <c r="I137" s="107">
        <v>8009.94457964602</v>
      </c>
      <c r="J137" s="107">
        <v>3900</v>
      </c>
      <c r="K137" s="107">
        <v>2600</v>
      </c>
      <c r="L137" s="107">
        <f t="shared" si="6"/>
        <v>59033.2915519912</v>
      </c>
      <c r="M137" s="107">
        <f t="shared" si="7"/>
        <v>28743</v>
      </c>
      <c r="N137" s="107">
        <f t="shared" si="8"/>
        <v>19162</v>
      </c>
      <c r="O137" s="129"/>
      <c r="P137" s="112" t="s">
        <v>347</v>
      </c>
    </row>
    <row r="138" s="95" customFormat="1" ht="22" customHeight="1" spans="1:16">
      <c r="A138" s="104">
        <v>134</v>
      </c>
      <c r="B138" s="104" t="s">
        <v>368</v>
      </c>
      <c r="C138" s="111" t="s">
        <v>369</v>
      </c>
      <c r="D138" s="111" t="s">
        <v>345</v>
      </c>
      <c r="E138" s="116" t="s">
        <v>346</v>
      </c>
      <c r="F138" s="106">
        <v>1.27</v>
      </c>
      <c r="G138" s="106"/>
      <c r="H138" s="106"/>
      <c r="I138" s="107">
        <v>8924.38705752212</v>
      </c>
      <c r="J138" s="107">
        <v>4700</v>
      </c>
      <c r="K138" s="107">
        <v>2600</v>
      </c>
      <c r="L138" s="107">
        <f t="shared" si="6"/>
        <v>11333.9715630531</v>
      </c>
      <c r="M138" s="107">
        <f t="shared" si="7"/>
        <v>5969</v>
      </c>
      <c r="N138" s="107">
        <f t="shared" si="8"/>
        <v>3302</v>
      </c>
      <c r="O138" s="129"/>
      <c r="P138" s="130" t="s">
        <v>77</v>
      </c>
    </row>
    <row r="139" s="95" customFormat="1" ht="166" customHeight="1" spans="1:16">
      <c r="A139" s="104">
        <v>135</v>
      </c>
      <c r="B139" s="104" t="s">
        <v>370</v>
      </c>
      <c r="C139" s="111" t="s">
        <v>371</v>
      </c>
      <c r="D139" s="111" t="s">
        <v>345</v>
      </c>
      <c r="E139" s="116" t="s">
        <v>346</v>
      </c>
      <c r="F139" s="106">
        <v>6.84</v>
      </c>
      <c r="G139" s="106"/>
      <c r="H139" s="106"/>
      <c r="I139" s="107">
        <v>8009.94457964602</v>
      </c>
      <c r="J139" s="107">
        <v>3900</v>
      </c>
      <c r="K139" s="107">
        <v>2600</v>
      </c>
      <c r="L139" s="107">
        <f t="shared" si="6"/>
        <v>54788.0209247788</v>
      </c>
      <c r="M139" s="107">
        <f t="shared" si="7"/>
        <v>26676</v>
      </c>
      <c r="N139" s="107">
        <f t="shared" si="8"/>
        <v>17784</v>
      </c>
      <c r="O139" s="129"/>
      <c r="P139" s="112" t="s">
        <v>372</v>
      </c>
    </row>
    <row r="140" ht="68" customHeight="1" spans="1:16">
      <c r="A140" s="104">
        <v>136</v>
      </c>
      <c r="B140" s="104" t="s">
        <v>373</v>
      </c>
      <c r="C140" s="111" t="s">
        <v>374</v>
      </c>
      <c r="D140" s="111" t="s">
        <v>375</v>
      </c>
      <c r="E140" s="104" t="s">
        <v>376</v>
      </c>
      <c r="F140" s="104">
        <v>30</v>
      </c>
      <c r="G140" s="106"/>
      <c r="H140" s="106"/>
      <c r="I140" s="107">
        <v>853.74635840708</v>
      </c>
      <c r="J140" s="107">
        <v>600</v>
      </c>
      <c r="K140" s="107">
        <v>130</v>
      </c>
      <c r="L140" s="107">
        <f t="shared" si="6"/>
        <v>25612.3907522124</v>
      </c>
      <c r="M140" s="107">
        <f t="shared" si="7"/>
        <v>18000</v>
      </c>
      <c r="N140" s="107">
        <f t="shared" si="8"/>
        <v>3900</v>
      </c>
      <c r="O140" s="129"/>
      <c r="P140" s="112" t="s">
        <v>377</v>
      </c>
    </row>
    <row r="141" ht="31" customHeight="1" spans="1:16">
      <c r="A141" s="104">
        <v>137</v>
      </c>
      <c r="B141" s="104" t="s">
        <v>378</v>
      </c>
      <c r="C141" s="111" t="s">
        <v>379</v>
      </c>
      <c r="D141" s="111" t="s">
        <v>380</v>
      </c>
      <c r="E141" s="104" t="s">
        <v>376</v>
      </c>
      <c r="F141" s="104">
        <v>60</v>
      </c>
      <c r="G141" s="106"/>
      <c r="H141" s="106"/>
      <c r="I141" s="107">
        <v>322.512431415929</v>
      </c>
      <c r="J141" s="107">
        <v>220</v>
      </c>
      <c r="K141" s="107">
        <v>55</v>
      </c>
      <c r="L141" s="107">
        <f t="shared" si="6"/>
        <v>19350.7458849557</v>
      </c>
      <c r="M141" s="107">
        <f t="shared" si="7"/>
        <v>13200</v>
      </c>
      <c r="N141" s="107">
        <f t="shared" si="8"/>
        <v>3300</v>
      </c>
      <c r="O141" s="129"/>
      <c r="P141" s="130" t="s">
        <v>77</v>
      </c>
    </row>
    <row r="142" ht="22" customHeight="1" spans="1:16">
      <c r="A142" s="104">
        <v>138</v>
      </c>
      <c r="B142" s="104" t="s">
        <v>381</v>
      </c>
      <c r="C142" s="111" t="s">
        <v>379</v>
      </c>
      <c r="D142" s="111" t="s">
        <v>382</v>
      </c>
      <c r="E142" s="104" t="s">
        <v>376</v>
      </c>
      <c r="F142" s="104">
        <v>80</v>
      </c>
      <c r="G142" s="106"/>
      <c r="H142" s="106"/>
      <c r="I142" s="107">
        <v>477.567584070796</v>
      </c>
      <c r="J142" s="107">
        <v>350</v>
      </c>
      <c r="K142" s="107">
        <v>60</v>
      </c>
      <c r="L142" s="107">
        <f t="shared" si="6"/>
        <v>38205.4067256637</v>
      </c>
      <c r="M142" s="107">
        <f t="shared" si="7"/>
        <v>28000</v>
      </c>
      <c r="N142" s="107">
        <f t="shared" si="8"/>
        <v>4800</v>
      </c>
      <c r="O142" s="129"/>
      <c r="P142" s="130" t="s">
        <v>77</v>
      </c>
    </row>
    <row r="143" ht="33" customHeight="1" spans="1:16">
      <c r="A143" s="104">
        <v>139</v>
      </c>
      <c r="B143" s="104" t="s">
        <v>383</v>
      </c>
      <c r="C143" s="111" t="s">
        <v>384</v>
      </c>
      <c r="D143" s="111"/>
      <c r="E143" s="104" t="s">
        <v>296</v>
      </c>
      <c r="F143" s="104">
        <v>2</v>
      </c>
      <c r="G143" s="106"/>
      <c r="H143" s="106"/>
      <c r="I143" s="107">
        <v>730.41092920354</v>
      </c>
      <c r="J143" s="107">
        <v>300</v>
      </c>
      <c r="K143" s="107">
        <v>300</v>
      </c>
      <c r="L143" s="107">
        <f t="shared" si="6"/>
        <v>1460.82185840708</v>
      </c>
      <c r="M143" s="107">
        <f t="shared" si="7"/>
        <v>600</v>
      </c>
      <c r="N143" s="107">
        <f t="shared" si="8"/>
        <v>600</v>
      </c>
      <c r="O143" s="129"/>
      <c r="P143" s="112" t="s">
        <v>385</v>
      </c>
    </row>
    <row r="144" ht="99" customHeight="1" spans="1:16">
      <c r="A144" s="104">
        <v>140</v>
      </c>
      <c r="B144" s="104" t="s">
        <v>386</v>
      </c>
      <c r="C144" s="111" t="s">
        <v>387</v>
      </c>
      <c r="D144" s="111" t="s">
        <v>388</v>
      </c>
      <c r="E144" s="104" t="s">
        <v>389</v>
      </c>
      <c r="F144" s="104">
        <v>2</v>
      </c>
      <c r="G144" s="106"/>
      <c r="H144" s="106"/>
      <c r="I144" s="107">
        <v>3487.455</v>
      </c>
      <c r="J144" s="107">
        <v>0</v>
      </c>
      <c r="K144" s="107">
        <v>0</v>
      </c>
      <c r="L144" s="107">
        <f t="shared" si="6"/>
        <v>6974.91</v>
      </c>
      <c r="M144" s="107">
        <f t="shared" si="7"/>
        <v>0</v>
      </c>
      <c r="N144" s="107">
        <f t="shared" si="8"/>
        <v>0</v>
      </c>
      <c r="O144" s="129"/>
      <c r="P144" s="112" t="s">
        <v>390</v>
      </c>
    </row>
    <row r="145" ht="22" customHeight="1" spans="1:16">
      <c r="A145" s="104">
        <v>141</v>
      </c>
      <c r="B145" s="104" t="s">
        <v>391</v>
      </c>
      <c r="C145" s="111" t="s">
        <v>392</v>
      </c>
      <c r="D145" s="111" t="s">
        <v>393</v>
      </c>
      <c r="E145" s="104" t="s">
        <v>389</v>
      </c>
      <c r="F145" s="104">
        <v>2</v>
      </c>
      <c r="G145" s="106"/>
      <c r="H145" s="106"/>
      <c r="I145" s="107">
        <v>2970.795</v>
      </c>
      <c r="J145" s="107">
        <v>0</v>
      </c>
      <c r="K145" s="107">
        <v>0</v>
      </c>
      <c r="L145" s="107">
        <f t="shared" si="6"/>
        <v>5941.59</v>
      </c>
      <c r="M145" s="107">
        <f t="shared" si="7"/>
        <v>0</v>
      </c>
      <c r="N145" s="107">
        <f t="shared" si="8"/>
        <v>0</v>
      </c>
      <c r="O145" s="129"/>
      <c r="P145" s="130" t="s">
        <v>77</v>
      </c>
    </row>
    <row r="146" ht="88" customHeight="1" spans="1:16">
      <c r="A146" s="104">
        <v>142</v>
      </c>
      <c r="B146" s="104" t="s">
        <v>394</v>
      </c>
      <c r="C146" s="121" t="s">
        <v>395</v>
      </c>
      <c r="D146" s="115" t="s">
        <v>396</v>
      </c>
      <c r="E146" s="104" t="s">
        <v>389</v>
      </c>
      <c r="F146" s="104">
        <v>4</v>
      </c>
      <c r="G146" s="106"/>
      <c r="H146" s="106"/>
      <c r="I146" s="107">
        <v>645.825</v>
      </c>
      <c r="J146" s="107">
        <v>0</v>
      </c>
      <c r="K146" s="107">
        <v>200</v>
      </c>
      <c r="L146" s="107">
        <f t="shared" si="6"/>
        <v>2583.3</v>
      </c>
      <c r="M146" s="107">
        <f t="shared" si="7"/>
        <v>0</v>
      </c>
      <c r="N146" s="107">
        <f t="shared" si="8"/>
        <v>800</v>
      </c>
      <c r="O146" s="129"/>
      <c r="P146" s="112" t="s">
        <v>397</v>
      </c>
    </row>
    <row r="147" ht="22" customHeight="1" spans="1:16">
      <c r="A147" s="104">
        <v>143</v>
      </c>
      <c r="B147" s="104">
        <v>6</v>
      </c>
      <c r="C147" s="121" t="s">
        <v>398</v>
      </c>
      <c r="D147" s="111"/>
      <c r="E147" s="104"/>
      <c r="F147" s="104"/>
      <c r="G147" s="106"/>
      <c r="H147" s="106"/>
      <c r="I147" s="107">
        <v>0</v>
      </c>
      <c r="J147" s="107">
        <v>0</v>
      </c>
      <c r="K147" s="107">
        <v>0</v>
      </c>
      <c r="L147" s="107">
        <f>SUM(L148:L161)</f>
        <v>668609.477389381</v>
      </c>
      <c r="M147" s="107">
        <f>SUM(M148:M161)</f>
        <v>263900</v>
      </c>
      <c r="N147" s="107">
        <f>SUM(N148:N161)</f>
        <v>219100</v>
      </c>
      <c r="O147" s="129"/>
      <c r="P147" s="130"/>
    </row>
    <row r="148" ht="22" customHeight="1" spans="1:16">
      <c r="A148" s="104">
        <v>144</v>
      </c>
      <c r="B148" s="104" t="s">
        <v>399</v>
      </c>
      <c r="C148" s="121" t="s">
        <v>319</v>
      </c>
      <c r="D148" s="111"/>
      <c r="E148" s="104"/>
      <c r="F148" s="104"/>
      <c r="G148" s="106"/>
      <c r="H148" s="106"/>
      <c r="I148" s="107">
        <v>0</v>
      </c>
      <c r="J148" s="107">
        <v>0</v>
      </c>
      <c r="K148" s="107">
        <v>0</v>
      </c>
      <c r="L148" s="107">
        <f t="shared" si="6"/>
        <v>0</v>
      </c>
      <c r="M148" s="107">
        <f t="shared" si="7"/>
        <v>0</v>
      </c>
      <c r="N148" s="107">
        <f t="shared" si="8"/>
        <v>0</v>
      </c>
      <c r="O148" s="129"/>
      <c r="P148" s="130"/>
    </row>
    <row r="149" ht="113" customHeight="1" spans="1:16">
      <c r="A149" s="104">
        <v>145</v>
      </c>
      <c r="B149" s="104" t="s">
        <v>400</v>
      </c>
      <c r="C149" s="134" t="s">
        <v>401</v>
      </c>
      <c r="D149" s="135"/>
      <c r="E149" s="136" t="s">
        <v>331</v>
      </c>
      <c r="F149" s="136">
        <v>1</v>
      </c>
      <c r="G149" s="106"/>
      <c r="H149" s="106"/>
      <c r="I149" s="107">
        <v>1291.65</v>
      </c>
      <c r="J149" s="107">
        <v>0</v>
      </c>
      <c r="K149" s="107">
        <v>1000</v>
      </c>
      <c r="L149" s="107">
        <f t="shared" si="6"/>
        <v>1291.65</v>
      </c>
      <c r="M149" s="107">
        <f t="shared" si="7"/>
        <v>0</v>
      </c>
      <c r="N149" s="107">
        <f t="shared" si="8"/>
        <v>1000</v>
      </c>
      <c r="O149" s="129"/>
      <c r="P149" s="112" t="s">
        <v>402</v>
      </c>
    </row>
    <row r="150" ht="22" customHeight="1" spans="1:16">
      <c r="A150" s="104">
        <v>146</v>
      </c>
      <c r="B150" s="104" t="s">
        <v>403</v>
      </c>
      <c r="C150" s="134" t="s">
        <v>404</v>
      </c>
      <c r="D150" s="135"/>
      <c r="E150" s="136" t="s">
        <v>331</v>
      </c>
      <c r="F150" s="136">
        <v>2</v>
      </c>
      <c r="G150" s="106"/>
      <c r="H150" s="106"/>
      <c r="I150" s="107">
        <v>1291.65</v>
      </c>
      <c r="J150" s="107">
        <v>0</v>
      </c>
      <c r="K150" s="107">
        <v>1000</v>
      </c>
      <c r="L150" s="107">
        <f t="shared" si="6"/>
        <v>2583.3</v>
      </c>
      <c r="M150" s="107">
        <f t="shared" si="7"/>
        <v>0</v>
      </c>
      <c r="N150" s="107">
        <f t="shared" si="8"/>
        <v>2000</v>
      </c>
      <c r="O150" s="129"/>
      <c r="P150" s="130" t="s">
        <v>77</v>
      </c>
    </row>
    <row r="151" ht="124" customHeight="1" spans="1:16">
      <c r="A151" s="104">
        <v>147</v>
      </c>
      <c r="B151" s="104" t="s">
        <v>405</v>
      </c>
      <c r="C151" s="134" t="s">
        <v>406</v>
      </c>
      <c r="D151" s="135"/>
      <c r="E151" s="136" t="s">
        <v>331</v>
      </c>
      <c r="F151" s="136">
        <v>2</v>
      </c>
      <c r="G151" s="106"/>
      <c r="H151" s="106"/>
      <c r="I151" s="107">
        <v>387.495</v>
      </c>
      <c r="J151" s="107">
        <v>0</v>
      </c>
      <c r="K151" s="107">
        <v>300</v>
      </c>
      <c r="L151" s="107">
        <f t="shared" si="6"/>
        <v>774.99</v>
      </c>
      <c r="M151" s="107">
        <f t="shared" si="7"/>
        <v>0</v>
      </c>
      <c r="N151" s="107">
        <f t="shared" si="8"/>
        <v>600</v>
      </c>
      <c r="O151" s="129"/>
      <c r="P151" s="112" t="s">
        <v>323</v>
      </c>
    </row>
    <row r="152" ht="22" customHeight="1" spans="1:16">
      <c r="A152" s="104">
        <v>148</v>
      </c>
      <c r="B152" s="104" t="s">
        <v>407</v>
      </c>
      <c r="C152" s="134" t="s">
        <v>408</v>
      </c>
      <c r="D152" s="135"/>
      <c r="E152" s="136" t="s">
        <v>331</v>
      </c>
      <c r="F152" s="136">
        <v>1</v>
      </c>
      <c r="G152" s="106"/>
      <c r="H152" s="106"/>
      <c r="I152" s="107">
        <v>645.825</v>
      </c>
      <c r="J152" s="107">
        <v>0</v>
      </c>
      <c r="K152" s="107">
        <v>500</v>
      </c>
      <c r="L152" s="107">
        <f t="shared" si="6"/>
        <v>645.825</v>
      </c>
      <c r="M152" s="107">
        <f t="shared" si="7"/>
        <v>0</v>
      </c>
      <c r="N152" s="107">
        <f t="shared" si="8"/>
        <v>500</v>
      </c>
      <c r="O152" s="129"/>
      <c r="P152" s="130" t="s">
        <v>77</v>
      </c>
    </row>
    <row r="153" ht="22" customHeight="1" spans="1:16">
      <c r="A153" s="104">
        <v>149</v>
      </c>
      <c r="B153" s="104" t="s">
        <v>409</v>
      </c>
      <c r="C153" s="134" t="s">
        <v>410</v>
      </c>
      <c r="D153" s="135"/>
      <c r="E153" s="136" t="s">
        <v>331</v>
      </c>
      <c r="F153" s="136">
        <v>2</v>
      </c>
      <c r="G153" s="106"/>
      <c r="H153" s="106"/>
      <c r="I153" s="107">
        <v>645.825</v>
      </c>
      <c r="J153" s="107">
        <v>0</v>
      </c>
      <c r="K153" s="107">
        <v>500</v>
      </c>
      <c r="L153" s="107">
        <f t="shared" si="6"/>
        <v>1291.65</v>
      </c>
      <c r="M153" s="107">
        <f t="shared" si="7"/>
        <v>0</v>
      </c>
      <c r="N153" s="107">
        <f t="shared" si="8"/>
        <v>1000</v>
      </c>
      <c r="O153" s="129"/>
      <c r="P153" s="130" t="s">
        <v>77</v>
      </c>
    </row>
    <row r="154" ht="22" customHeight="1" spans="1:16">
      <c r="A154" s="104">
        <v>150</v>
      </c>
      <c r="B154" s="104" t="s">
        <v>411</v>
      </c>
      <c r="C154" s="135" t="s">
        <v>412</v>
      </c>
      <c r="D154" s="135" t="s">
        <v>413</v>
      </c>
      <c r="E154" s="136" t="s">
        <v>300</v>
      </c>
      <c r="F154" s="136">
        <v>2</v>
      </c>
      <c r="G154" s="106"/>
      <c r="H154" s="106"/>
      <c r="I154" s="107">
        <v>3874.95</v>
      </c>
      <c r="J154" s="107">
        <v>0</v>
      </c>
      <c r="K154" s="107">
        <v>3000</v>
      </c>
      <c r="L154" s="107">
        <f t="shared" si="6"/>
        <v>7749.9</v>
      </c>
      <c r="M154" s="107">
        <f t="shared" si="7"/>
        <v>0</v>
      </c>
      <c r="N154" s="107">
        <f t="shared" si="8"/>
        <v>6000</v>
      </c>
      <c r="O154" s="129"/>
      <c r="P154" s="130" t="s">
        <v>77</v>
      </c>
    </row>
    <row r="155" ht="22" customHeight="1" spans="1:16">
      <c r="A155" s="104">
        <v>151</v>
      </c>
      <c r="B155" s="104" t="s">
        <v>414</v>
      </c>
      <c r="C155" s="135" t="s">
        <v>412</v>
      </c>
      <c r="D155" s="135" t="s">
        <v>415</v>
      </c>
      <c r="E155" s="136" t="s">
        <v>300</v>
      </c>
      <c r="F155" s="136">
        <v>2</v>
      </c>
      <c r="G155" s="106"/>
      <c r="H155" s="106"/>
      <c r="I155" s="107">
        <v>3874.95</v>
      </c>
      <c r="J155" s="107">
        <v>0</v>
      </c>
      <c r="K155" s="107">
        <v>3000</v>
      </c>
      <c r="L155" s="107">
        <f t="shared" si="6"/>
        <v>7749.9</v>
      </c>
      <c r="M155" s="107">
        <f t="shared" si="7"/>
        <v>0</v>
      </c>
      <c r="N155" s="107">
        <f t="shared" si="8"/>
        <v>6000</v>
      </c>
      <c r="O155" s="129"/>
      <c r="P155" s="130" t="s">
        <v>77</v>
      </c>
    </row>
    <row r="156" ht="22" customHeight="1" spans="1:16">
      <c r="A156" s="104">
        <v>152</v>
      </c>
      <c r="B156" s="104" t="s">
        <v>416</v>
      </c>
      <c r="C156" s="135" t="s">
        <v>412</v>
      </c>
      <c r="D156" s="135" t="s">
        <v>417</v>
      </c>
      <c r="E156" s="136" t="s">
        <v>300</v>
      </c>
      <c r="F156" s="136">
        <v>2</v>
      </c>
      <c r="G156" s="106"/>
      <c r="H156" s="106"/>
      <c r="I156" s="107">
        <v>2583.3</v>
      </c>
      <c r="J156" s="107">
        <v>0</v>
      </c>
      <c r="K156" s="107">
        <v>2000</v>
      </c>
      <c r="L156" s="107">
        <f t="shared" si="6"/>
        <v>5166.6</v>
      </c>
      <c r="M156" s="107">
        <f t="shared" si="7"/>
        <v>0</v>
      </c>
      <c r="N156" s="107">
        <f t="shared" si="8"/>
        <v>4000</v>
      </c>
      <c r="O156" s="129"/>
      <c r="P156" s="130" t="s">
        <v>77</v>
      </c>
    </row>
    <row r="157" ht="33" customHeight="1" spans="1:16">
      <c r="A157" s="104">
        <v>153</v>
      </c>
      <c r="B157" s="104" t="s">
        <v>418</v>
      </c>
      <c r="C157" s="135" t="s">
        <v>419</v>
      </c>
      <c r="D157" s="135" t="s">
        <v>420</v>
      </c>
      <c r="E157" s="136" t="s">
        <v>331</v>
      </c>
      <c r="F157" s="136">
        <v>1</v>
      </c>
      <c r="G157" s="106"/>
      <c r="H157" s="106"/>
      <c r="I157" s="107">
        <v>25833</v>
      </c>
      <c r="J157" s="107">
        <v>0</v>
      </c>
      <c r="K157" s="107">
        <v>20000</v>
      </c>
      <c r="L157" s="107">
        <f t="shared" si="6"/>
        <v>25833</v>
      </c>
      <c r="M157" s="107">
        <f t="shared" si="7"/>
        <v>0</v>
      </c>
      <c r="N157" s="107">
        <f t="shared" si="8"/>
        <v>20000</v>
      </c>
      <c r="O157" s="129"/>
      <c r="P157" s="130" t="s">
        <v>77</v>
      </c>
    </row>
    <row r="158" ht="22" customHeight="1" spans="1:16">
      <c r="A158" s="104">
        <v>154</v>
      </c>
      <c r="B158" s="104" t="s">
        <v>421</v>
      </c>
      <c r="C158" s="111" t="s">
        <v>422</v>
      </c>
      <c r="D158" s="111" t="s">
        <v>423</v>
      </c>
      <c r="E158" s="136" t="s">
        <v>331</v>
      </c>
      <c r="F158" s="136">
        <v>2</v>
      </c>
      <c r="G158" s="106"/>
      <c r="H158" s="106"/>
      <c r="I158" s="107">
        <v>3874.95</v>
      </c>
      <c r="J158" s="107">
        <v>0</v>
      </c>
      <c r="K158" s="107">
        <v>3000</v>
      </c>
      <c r="L158" s="107">
        <f t="shared" si="6"/>
        <v>7749.9</v>
      </c>
      <c r="M158" s="107">
        <f t="shared" si="7"/>
        <v>0</v>
      </c>
      <c r="N158" s="107">
        <f t="shared" si="8"/>
        <v>6000</v>
      </c>
      <c r="O158" s="129"/>
      <c r="P158" s="130" t="s">
        <v>77</v>
      </c>
    </row>
    <row r="159" ht="22" customHeight="1" spans="1:16">
      <c r="A159" s="104">
        <v>155</v>
      </c>
      <c r="B159" s="104" t="s">
        <v>424</v>
      </c>
      <c r="C159" s="111" t="s">
        <v>422</v>
      </c>
      <c r="D159" s="111" t="s">
        <v>425</v>
      </c>
      <c r="E159" s="136" t="s">
        <v>331</v>
      </c>
      <c r="F159" s="136">
        <v>1</v>
      </c>
      <c r="G159" s="106"/>
      <c r="H159" s="106"/>
      <c r="I159" s="107">
        <v>3874.95</v>
      </c>
      <c r="J159" s="107">
        <v>0</v>
      </c>
      <c r="K159" s="107">
        <v>3000</v>
      </c>
      <c r="L159" s="107">
        <f t="shared" si="6"/>
        <v>3874.95</v>
      </c>
      <c r="M159" s="107">
        <f t="shared" si="7"/>
        <v>0</v>
      </c>
      <c r="N159" s="107">
        <f t="shared" si="8"/>
        <v>3000</v>
      </c>
      <c r="O159" s="129"/>
      <c r="P159" s="130" t="s">
        <v>77</v>
      </c>
    </row>
    <row r="160" ht="22" customHeight="1" spans="1:16">
      <c r="A160" s="104">
        <v>156</v>
      </c>
      <c r="B160" s="104">
        <v>6.2</v>
      </c>
      <c r="C160" s="121" t="s">
        <v>311</v>
      </c>
      <c r="D160" s="111"/>
      <c r="E160" s="104"/>
      <c r="F160" s="104"/>
      <c r="G160" s="106"/>
      <c r="H160" s="106"/>
      <c r="I160" s="107">
        <v>0</v>
      </c>
      <c r="J160" s="107">
        <v>0</v>
      </c>
      <c r="K160" s="107">
        <v>0</v>
      </c>
      <c r="L160" s="107">
        <f t="shared" si="6"/>
        <v>0</v>
      </c>
      <c r="M160" s="107">
        <f t="shared" si="7"/>
        <v>0</v>
      </c>
      <c r="N160" s="107">
        <f t="shared" si="8"/>
        <v>0</v>
      </c>
      <c r="O160" s="129"/>
      <c r="P160" s="130"/>
    </row>
    <row r="161" ht="108" customHeight="1" spans="1:16">
      <c r="A161" s="104">
        <v>157</v>
      </c>
      <c r="B161" s="104" t="s">
        <v>426</v>
      </c>
      <c r="C161" s="134" t="s">
        <v>427</v>
      </c>
      <c r="D161" s="134" t="s">
        <v>428</v>
      </c>
      <c r="E161" s="116" t="s">
        <v>346</v>
      </c>
      <c r="F161" s="137">
        <v>65</v>
      </c>
      <c r="G161" s="106"/>
      <c r="H161" s="106"/>
      <c r="I161" s="107">
        <v>9290.73557522124</v>
      </c>
      <c r="J161" s="107">
        <v>4060</v>
      </c>
      <c r="K161" s="107">
        <v>2600</v>
      </c>
      <c r="L161" s="107">
        <f t="shared" si="6"/>
        <v>603897.812389381</v>
      </c>
      <c r="M161" s="107">
        <f t="shared" si="7"/>
        <v>263900</v>
      </c>
      <c r="N161" s="107">
        <f t="shared" si="8"/>
        <v>169000</v>
      </c>
      <c r="O161" s="129"/>
      <c r="P161" s="138" t="s">
        <v>429</v>
      </c>
    </row>
    <row r="162" ht="22" customHeight="1" spans="1:16">
      <c r="A162" s="104">
        <v>158</v>
      </c>
      <c r="B162" s="104">
        <v>7</v>
      </c>
      <c r="C162" s="121" t="s">
        <v>430</v>
      </c>
      <c r="D162" s="111"/>
      <c r="E162" s="104"/>
      <c r="F162" s="104"/>
      <c r="G162" s="106"/>
      <c r="H162" s="106"/>
      <c r="I162" s="107">
        <v>0</v>
      </c>
      <c r="J162" s="107">
        <v>0</v>
      </c>
      <c r="K162" s="107">
        <v>0</v>
      </c>
      <c r="L162" s="107">
        <f>SUM(L163:L256)</f>
        <v>1074099.98727875</v>
      </c>
      <c r="M162" s="107">
        <f>SUM(M163:M256)</f>
        <v>309873</v>
      </c>
      <c r="N162" s="107">
        <f>SUM(N163:N256)</f>
        <v>479773</v>
      </c>
      <c r="O162" s="129"/>
      <c r="P162" s="130"/>
    </row>
    <row r="163" ht="22" customHeight="1" spans="1:16">
      <c r="A163" s="104">
        <v>159</v>
      </c>
      <c r="B163" s="104" t="s">
        <v>431</v>
      </c>
      <c r="C163" s="121" t="s">
        <v>319</v>
      </c>
      <c r="D163" s="111"/>
      <c r="E163" s="104"/>
      <c r="F163" s="104"/>
      <c r="G163" s="106"/>
      <c r="H163" s="106"/>
      <c r="I163" s="107">
        <v>0</v>
      </c>
      <c r="J163" s="107">
        <v>0</v>
      </c>
      <c r="K163" s="107">
        <v>0</v>
      </c>
      <c r="L163" s="107">
        <f t="shared" si="6"/>
        <v>0</v>
      </c>
      <c r="M163" s="107">
        <f t="shared" si="7"/>
        <v>0</v>
      </c>
      <c r="N163" s="107">
        <f t="shared" si="8"/>
        <v>0</v>
      </c>
      <c r="O163" s="129"/>
      <c r="P163" s="130"/>
    </row>
    <row r="164" ht="84" customHeight="1" spans="1:16">
      <c r="A164" s="104">
        <v>160</v>
      </c>
      <c r="B164" s="104" t="s">
        <v>432</v>
      </c>
      <c r="C164" s="111" t="s">
        <v>433</v>
      </c>
      <c r="D164" s="111"/>
      <c r="E164" s="116" t="s">
        <v>331</v>
      </c>
      <c r="F164" s="116">
        <v>2</v>
      </c>
      <c r="G164" s="106"/>
      <c r="H164" s="106"/>
      <c r="I164" s="107">
        <v>1033.32</v>
      </c>
      <c r="J164" s="107">
        <v>0</v>
      </c>
      <c r="K164" s="107">
        <v>800</v>
      </c>
      <c r="L164" s="107">
        <f t="shared" si="6"/>
        <v>2066.64</v>
      </c>
      <c r="M164" s="107">
        <f t="shared" si="7"/>
        <v>0</v>
      </c>
      <c r="N164" s="107">
        <f t="shared" si="8"/>
        <v>1600</v>
      </c>
      <c r="O164" s="129"/>
      <c r="P164" s="112" t="s">
        <v>434</v>
      </c>
    </row>
    <row r="165" ht="22" customHeight="1" spans="1:16">
      <c r="A165" s="104">
        <v>161</v>
      </c>
      <c r="B165" s="104" t="s">
        <v>435</v>
      </c>
      <c r="C165" s="111" t="s">
        <v>436</v>
      </c>
      <c r="D165" s="111"/>
      <c r="E165" s="116" t="s">
        <v>331</v>
      </c>
      <c r="F165" s="116">
        <v>27</v>
      </c>
      <c r="G165" s="106"/>
      <c r="H165" s="106"/>
      <c r="I165" s="107">
        <v>1033.32</v>
      </c>
      <c r="J165" s="107">
        <v>0</v>
      </c>
      <c r="K165" s="107">
        <v>800</v>
      </c>
      <c r="L165" s="107">
        <f t="shared" si="6"/>
        <v>27899.64</v>
      </c>
      <c r="M165" s="107">
        <f t="shared" si="7"/>
        <v>0</v>
      </c>
      <c r="N165" s="107">
        <f t="shared" si="8"/>
        <v>21600</v>
      </c>
      <c r="O165" s="129"/>
      <c r="P165" s="130" t="s">
        <v>77</v>
      </c>
    </row>
    <row r="166" ht="22" customHeight="1" spans="1:16">
      <c r="A166" s="104">
        <v>162</v>
      </c>
      <c r="B166" s="104" t="s">
        <v>437</v>
      </c>
      <c r="C166" s="111" t="s">
        <v>438</v>
      </c>
      <c r="D166" s="111"/>
      <c r="E166" s="116" t="s">
        <v>331</v>
      </c>
      <c r="F166" s="116">
        <v>6</v>
      </c>
      <c r="G166" s="106"/>
      <c r="H166" s="106"/>
      <c r="I166" s="107">
        <v>645.825</v>
      </c>
      <c r="J166" s="107">
        <v>0</v>
      </c>
      <c r="K166" s="107">
        <v>500</v>
      </c>
      <c r="L166" s="107">
        <f t="shared" si="6"/>
        <v>3874.95</v>
      </c>
      <c r="M166" s="107">
        <f t="shared" si="7"/>
        <v>0</v>
      </c>
      <c r="N166" s="107">
        <f t="shared" si="8"/>
        <v>3000</v>
      </c>
      <c r="O166" s="129"/>
      <c r="P166" s="130" t="s">
        <v>77</v>
      </c>
    </row>
    <row r="167" ht="22" customHeight="1" spans="1:16">
      <c r="A167" s="104">
        <v>163</v>
      </c>
      <c r="B167" s="104" t="s">
        <v>439</v>
      </c>
      <c r="C167" s="111" t="s">
        <v>440</v>
      </c>
      <c r="D167" s="111"/>
      <c r="E167" s="116" t="s">
        <v>300</v>
      </c>
      <c r="F167" s="116">
        <v>36</v>
      </c>
      <c r="G167" s="106"/>
      <c r="H167" s="106"/>
      <c r="I167" s="107">
        <v>645.825</v>
      </c>
      <c r="J167" s="107">
        <v>0</v>
      </c>
      <c r="K167" s="107">
        <v>500</v>
      </c>
      <c r="L167" s="107">
        <f t="shared" si="6"/>
        <v>23249.7</v>
      </c>
      <c r="M167" s="107">
        <f t="shared" si="7"/>
        <v>0</v>
      </c>
      <c r="N167" s="107">
        <f t="shared" si="8"/>
        <v>18000</v>
      </c>
      <c r="O167" s="129"/>
      <c r="P167" s="130" t="s">
        <v>77</v>
      </c>
    </row>
    <row r="168" ht="22" customHeight="1" spans="1:16">
      <c r="A168" s="104">
        <v>164</v>
      </c>
      <c r="B168" s="104" t="s">
        <v>441</v>
      </c>
      <c r="C168" s="111" t="s">
        <v>442</v>
      </c>
      <c r="D168" s="111"/>
      <c r="E168" s="116" t="s">
        <v>331</v>
      </c>
      <c r="F168" s="116">
        <v>2</v>
      </c>
      <c r="G168" s="106"/>
      <c r="H168" s="106"/>
      <c r="I168" s="107">
        <v>645.825</v>
      </c>
      <c r="J168" s="107">
        <v>0</v>
      </c>
      <c r="K168" s="107">
        <v>500</v>
      </c>
      <c r="L168" s="107">
        <f t="shared" si="6"/>
        <v>1291.65</v>
      </c>
      <c r="M168" s="107">
        <f t="shared" si="7"/>
        <v>0</v>
      </c>
      <c r="N168" s="107">
        <f t="shared" si="8"/>
        <v>1000</v>
      </c>
      <c r="O168" s="129"/>
      <c r="P168" s="130" t="s">
        <v>77</v>
      </c>
    </row>
    <row r="169" ht="22" customHeight="1" spans="1:16">
      <c r="A169" s="104">
        <v>165</v>
      </c>
      <c r="B169" s="104" t="s">
        <v>443</v>
      </c>
      <c r="C169" s="111" t="s">
        <v>444</v>
      </c>
      <c r="D169" s="111"/>
      <c r="E169" s="116" t="s">
        <v>300</v>
      </c>
      <c r="F169" s="116">
        <v>29</v>
      </c>
      <c r="G169" s="106"/>
      <c r="H169" s="106"/>
      <c r="I169" s="107">
        <v>258.33</v>
      </c>
      <c r="J169" s="107">
        <v>0</v>
      </c>
      <c r="K169" s="107">
        <v>200</v>
      </c>
      <c r="L169" s="107">
        <f t="shared" si="6"/>
        <v>7491.57</v>
      </c>
      <c r="M169" s="107">
        <f t="shared" si="7"/>
        <v>0</v>
      </c>
      <c r="N169" s="107">
        <f t="shared" si="8"/>
        <v>5800</v>
      </c>
      <c r="O169" s="129"/>
      <c r="P169" s="130" t="s">
        <v>77</v>
      </c>
    </row>
    <row r="170" ht="22" customHeight="1" spans="1:16">
      <c r="A170" s="104">
        <v>166</v>
      </c>
      <c r="B170" s="104" t="s">
        <v>445</v>
      </c>
      <c r="C170" s="111" t="s">
        <v>446</v>
      </c>
      <c r="D170" s="111"/>
      <c r="E170" s="116" t="s">
        <v>300</v>
      </c>
      <c r="F170" s="116">
        <v>8</v>
      </c>
      <c r="G170" s="106"/>
      <c r="H170" s="106"/>
      <c r="I170" s="107">
        <v>258.33</v>
      </c>
      <c r="J170" s="107">
        <v>0</v>
      </c>
      <c r="K170" s="107">
        <v>200</v>
      </c>
      <c r="L170" s="107">
        <f t="shared" si="6"/>
        <v>2066.64</v>
      </c>
      <c r="M170" s="107">
        <f t="shared" si="7"/>
        <v>0</v>
      </c>
      <c r="N170" s="107">
        <f t="shared" si="8"/>
        <v>1600</v>
      </c>
      <c r="O170" s="129"/>
      <c r="P170" s="130" t="s">
        <v>77</v>
      </c>
    </row>
    <row r="171" ht="22" customHeight="1" spans="1:16">
      <c r="A171" s="104">
        <v>167</v>
      </c>
      <c r="B171" s="104" t="s">
        <v>447</v>
      </c>
      <c r="C171" s="111" t="s">
        <v>448</v>
      </c>
      <c r="D171" s="111"/>
      <c r="E171" s="116" t="s">
        <v>300</v>
      </c>
      <c r="F171" s="116">
        <v>12</v>
      </c>
      <c r="G171" s="106"/>
      <c r="H171" s="106"/>
      <c r="I171" s="107">
        <v>258.33</v>
      </c>
      <c r="J171" s="107">
        <v>0</v>
      </c>
      <c r="K171" s="107">
        <v>200</v>
      </c>
      <c r="L171" s="107">
        <f t="shared" si="6"/>
        <v>3099.96</v>
      </c>
      <c r="M171" s="107">
        <f t="shared" si="7"/>
        <v>0</v>
      </c>
      <c r="N171" s="107">
        <f t="shared" si="8"/>
        <v>2400</v>
      </c>
      <c r="O171" s="129"/>
      <c r="P171" s="130" t="s">
        <v>77</v>
      </c>
    </row>
    <row r="172" ht="22" customHeight="1" spans="1:16">
      <c r="A172" s="104">
        <v>168</v>
      </c>
      <c r="B172" s="104" t="s">
        <v>449</v>
      </c>
      <c r="C172" s="111" t="s">
        <v>450</v>
      </c>
      <c r="D172" s="111"/>
      <c r="E172" s="116" t="s">
        <v>300</v>
      </c>
      <c r="F172" s="116">
        <v>7</v>
      </c>
      <c r="G172" s="106"/>
      <c r="H172" s="106"/>
      <c r="I172" s="107">
        <v>258.33</v>
      </c>
      <c r="J172" s="107">
        <v>0</v>
      </c>
      <c r="K172" s="107">
        <v>200</v>
      </c>
      <c r="L172" s="107">
        <f t="shared" si="6"/>
        <v>1808.31</v>
      </c>
      <c r="M172" s="107">
        <f t="shared" si="7"/>
        <v>0</v>
      </c>
      <c r="N172" s="107">
        <f t="shared" si="8"/>
        <v>1400</v>
      </c>
      <c r="O172" s="129"/>
      <c r="P172" s="130" t="s">
        <v>77</v>
      </c>
    </row>
    <row r="173" ht="22" customHeight="1" spans="1:16">
      <c r="A173" s="104">
        <v>169</v>
      </c>
      <c r="B173" s="104" t="s">
        <v>451</v>
      </c>
      <c r="C173" s="111" t="s">
        <v>452</v>
      </c>
      <c r="D173" s="111"/>
      <c r="E173" s="116" t="s">
        <v>300</v>
      </c>
      <c r="F173" s="116">
        <v>1</v>
      </c>
      <c r="G173" s="106"/>
      <c r="H173" s="106"/>
      <c r="I173" s="107">
        <v>258.33</v>
      </c>
      <c r="J173" s="107">
        <v>0</v>
      </c>
      <c r="K173" s="107">
        <v>200</v>
      </c>
      <c r="L173" s="107">
        <f t="shared" si="6"/>
        <v>258.33</v>
      </c>
      <c r="M173" s="107">
        <f t="shared" si="7"/>
        <v>0</v>
      </c>
      <c r="N173" s="107">
        <f t="shared" si="8"/>
        <v>200</v>
      </c>
      <c r="O173" s="129"/>
      <c r="P173" s="130" t="s">
        <v>77</v>
      </c>
    </row>
    <row r="174" ht="22" customHeight="1" spans="1:16">
      <c r="A174" s="104">
        <v>170</v>
      </c>
      <c r="B174" s="104" t="s">
        <v>453</v>
      </c>
      <c r="C174" s="111" t="s">
        <v>454</v>
      </c>
      <c r="D174" s="111"/>
      <c r="E174" s="116" t="s">
        <v>296</v>
      </c>
      <c r="F174" s="116">
        <v>1</v>
      </c>
      <c r="G174" s="106"/>
      <c r="H174" s="106"/>
      <c r="I174" s="107">
        <v>2583.3</v>
      </c>
      <c r="J174" s="107">
        <v>0</v>
      </c>
      <c r="K174" s="107">
        <v>2000</v>
      </c>
      <c r="L174" s="107">
        <f t="shared" si="6"/>
        <v>2583.3</v>
      </c>
      <c r="M174" s="107">
        <f t="shared" si="7"/>
        <v>0</v>
      </c>
      <c r="N174" s="107">
        <f t="shared" si="8"/>
        <v>2000</v>
      </c>
      <c r="O174" s="129"/>
      <c r="P174" s="130" t="s">
        <v>77</v>
      </c>
    </row>
    <row r="175" ht="22" customHeight="1" spans="1:16">
      <c r="A175" s="104">
        <v>171</v>
      </c>
      <c r="B175" s="104" t="s">
        <v>455</v>
      </c>
      <c r="C175" s="111" t="s">
        <v>456</v>
      </c>
      <c r="D175" s="111"/>
      <c r="E175" s="116" t="s">
        <v>300</v>
      </c>
      <c r="F175" s="116">
        <v>4</v>
      </c>
      <c r="G175" s="106"/>
      <c r="H175" s="106"/>
      <c r="I175" s="107">
        <v>645.825</v>
      </c>
      <c r="J175" s="107">
        <v>0</v>
      </c>
      <c r="K175" s="107">
        <v>500</v>
      </c>
      <c r="L175" s="107">
        <f t="shared" si="6"/>
        <v>2583.3</v>
      </c>
      <c r="M175" s="107">
        <f t="shared" si="7"/>
        <v>0</v>
      </c>
      <c r="N175" s="107">
        <f t="shared" si="8"/>
        <v>2000</v>
      </c>
      <c r="O175" s="129"/>
      <c r="P175" s="130" t="s">
        <v>77</v>
      </c>
    </row>
    <row r="176" ht="58" customHeight="1" spans="1:16">
      <c r="A176" s="104">
        <v>172</v>
      </c>
      <c r="B176" s="104" t="s">
        <v>457</v>
      </c>
      <c r="C176" s="111" t="s">
        <v>458</v>
      </c>
      <c r="D176" s="111" t="s">
        <v>459</v>
      </c>
      <c r="E176" s="132" t="s">
        <v>460</v>
      </c>
      <c r="F176" s="116">
        <v>240</v>
      </c>
      <c r="G176" s="106"/>
      <c r="H176" s="106"/>
      <c r="I176" s="107">
        <v>658.398584070796</v>
      </c>
      <c r="J176" s="107">
        <v>350</v>
      </c>
      <c r="K176" s="107">
        <v>100</v>
      </c>
      <c r="L176" s="107">
        <f t="shared" si="6"/>
        <v>158015.660176991</v>
      </c>
      <c r="M176" s="107">
        <f t="shared" si="7"/>
        <v>84000</v>
      </c>
      <c r="N176" s="107">
        <f t="shared" si="8"/>
        <v>24000</v>
      </c>
      <c r="O176" s="129"/>
      <c r="P176" s="112" t="s">
        <v>461</v>
      </c>
    </row>
    <row r="177" ht="22" customHeight="1" spans="1:16">
      <c r="A177" s="104">
        <v>173</v>
      </c>
      <c r="B177" s="104">
        <v>7.2</v>
      </c>
      <c r="C177" s="121" t="s">
        <v>311</v>
      </c>
      <c r="D177" s="111"/>
      <c r="E177" s="104"/>
      <c r="F177" s="104"/>
      <c r="G177" s="106"/>
      <c r="H177" s="106"/>
      <c r="I177" s="107">
        <v>0</v>
      </c>
      <c r="J177" s="107">
        <v>0</v>
      </c>
      <c r="K177" s="107">
        <v>0</v>
      </c>
      <c r="L177" s="107">
        <f t="shared" si="6"/>
        <v>0</v>
      </c>
      <c r="M177" s="107">
        <f t="shared" si="7"/>
        <v>0</v>
      </c>
      <c r="N177" s="107">
        <f t="shared" si="8"/>
        <v>0</v>
      </c>
      <c r="O177" s="129"/>
      <c r="P177" s="130"/>
    </row>
    <row r="178" ht="58" customHeight="1" spans="1:16">
      <c r="A178" s="104">
        <v>174</v>
      </c>
      <c r="B178" s="128" t="s">
        <v>462</v>
      </c>
      <c r="C178" s="111" t="s">
        <v>463</v>
      </c>
      <c r="D178" s="111" t="s">
        <v>464</v>
      </c>
      <c r="E178" s="132" t="s">
        <v>460</v>
      </c>
      <c r="F178" s="116">
        <v>221</v>
      </c>
      <c r="G178" s="106"/>
      <c r="H178" s="106"/>
      <c r="I178" s="107">
        <v>5.8870682</v>
      </c>
      <c r="J178" s="107"/>
      <c r="K178" s="107">
        <v>4</v>
      </c>
      <c r="L178" s="107">
        <f t="shared" si="6"/>
        <v>1301.0420722</v>
      </c>
      <c r="M178" s="107">
        <f t="shared" si="7"/>
        <v>0</v>
      </c>
      <c r="N178" s="107">
        <f t="shared" si="8"/>
        <v>884</v>
      </c>
      <c r="O178" s="129"/>
      <c r="P178" s="139" t="s">
        <v>465</v>
      </c>
    </row>
    <row r="179" ht="45" customHeight="1" spans="1:16">
      <c r="A179" s="104">
        <v>175</v>
      </c>
      <c r="B179" s="128" t="s">
        <v>466</v>
      </c>
      <c r="C179" s="111" t="s">
        <v>463</v>
      </c>
      <c r="D179" s="111" t="s">
        <v>467</v>
      </c>
      <c r="E179" s="132" t="s">
        <v>460</v>
      </c>
      <c r="F179" s="116">
        <v>74</v>
      </c>
      <c r="G179" s="106"/>
      <c r="H179" s="106"/>
      <c r="I179" s="107">
        <v>6.0002865</v>
      </c>
      <c r="J179" s="107"/>
      <c r="K179" s="107">
        <v>4</v>
      </c>
      <c r="L179" s="107">
        <f t="shared" si="6"/>
        <v>444.021201</v>
      </c>
      <c r="M179" s="107">
        <f t="shared" si="7"/>
        <v>0</v>
      </c>
      <c r="N179" s="107">
        <f t="shared" si="8"/>
        <v>296</v>
      </c>
      <c r="O179" s="129"/>
      <c r="P179" s="130" t="s">
        <v>77</v>
      </c>
    </row>
    <row r="180" ht="32" customHeight="1" spans="1:16">
      <c r="A180" s="104">
        <v>176</v>
      </c>
      <c r="B180" s="128" t="s">
        <v>468</v>
      </c>
      <c r="C180" s="111" t="s">
        <v>469</v>
      </c>
      <c r="D180" s="111" t="s">
        <v>470</v>
      </c>
      <c r="E180" s="132" t="s">
        <v>460</v>
      </c>
      <c r="F180" s="116">
        <v>1656</v>
      </c>
      <c r="G180" s="106"/>
      <c r="H180" s="106"/>
      <c r="I180" s="107">
        <v>5.7659147</v>
      </c>
      <c r="J180" s="107"/>
      <c r="K180" s="107">
        <v>4</v>
      </c>
      <c r="L180" s="107">
        <f t="shared" si="6"/>
        <v>9548.3547432</v>
      </c>
      <c r="M180" s="107">
        <f t="shared" si="7"/>
        <v>0</v>
      </c>
      <c r="N180" s="107">
        <f t="shared" si="8"/>
        <v>6624</v>
      </c>
      <c r="O180" s="129"/>
      <c r="P180" s="130" t="s">
        <v>77</v>
      </c>
    </row>
    <row r="181" ht="22" customHeight="1" spans="1:16">
      <c r="A181" s="104">
        <v>177</v>
      </c>
      <c r="B181" s="128" t="s">
        <v>471</v>
      </c>
      <c r="C181" s="111" t="s">
        <v>469</v>
      </c>
      <c r="D181" s="111" t="s">
        <v>472</v>
      </c>
      <c r="E181" s="132" t="s">
        <v>460</v>
      </c>
      <c r="F181" s="116">
        <v>552</v>
      </c>
      <c r="G181" s="106"/>
      <c r="H181" s="106"/>
      <c r="I181" s="107">
        <v>5.8071494</v>
      </c>
      <c r="J181" s="107"/>
      <c r="K181" s="107">
        <v>4</v>
      </c>
      <c r="L181" s="107">
        <f t="shared" si="6"/>
        <v>3205.5464688</v>
      </c>
      <c r="M181" s="107">
        <f t="shared" si="7"/>
        <v>0</v>
      </c>
      <c r="N181" s="107">
        <f t="shared" si="8"/>
        <v>2208</v>
      </c>
      <c r="O181" s="129"/>
      <c r="P181" s="130" t="s">
        <v>77</v>
      </c>
    </row>
    <row r="182" ht="22" customHeight="1" spans="1:16">
      <c r="A182" s="104">
        <v>178</v>
      </c>
      <c r="B182" s="128" t="s">
        <v>473</v>
      </c>
      <c r="C182" s="111" t="s">
        <v>469</v>
      </c>
      <c r="D182" s="111" t="s">
        <v>474</v>
      </c>
      <c r="E182" s="132" t="s">
        <v>460</v>
      </c>
      <c r="F182" s="116">
        <v>110</v>
      </c>
      <c r="G182" s="106"/>
      <c r="H182" s="106"/>
      <c r="I182" s="107">
        <v>5.815368</v>
      </c>
      <c r="J182" s="107"/>
      <c r="K182" s="107">
        <v>4</v>
      </c>
      <c r="L182" s="107">
        <f t="shared" si="6"/>
        <v>639.69048</v>
      </c>
      <c r="M182" s="107">
        <f t="shared" si="7"/>
        <v>0</v>
      </c>
      <c r="N182" s="107">
        <f t="shared" si="8"/>
        <v>440</v>
      </c>
      <c r="O182" s="129"/>
      <c r="P182" s="130" t="s">
        <v>77</v>
      </c>
    </row>
    <row r="183" ht="22" customHeight="1" spans="1:16">
      <c r="A183" s="104">
        <v>179</v>
      </c>
      <c r="B183" s="128" t="s">
        <v>475</v>
      </c>
      <c r="C183" s="111" t="s">
        <v>469</v>
      </c>
      <c r="D183" s="111" t="s">
        <v>476</v>
      </c>
      <c r="E183" s="132" t="s">
        <v>460</v>
      </c>
      <c r="F183" s="116">
        <v>110</v>
      </c>
      <c r="G183" s="106"/>
      <c r="H183" s="106"/>
      <c r="I183" s="107">
        <v>7.626294</v>
      </c>
      <c r="J183" s="107"/>
      <c r="K183" s="107">
        <v>5</v>
      </c>
      <c r="L183" s="107">
        <f t="shared" si="6"/>
        <v>838.89234</v>
      </c>
      <c r="M183" s="107">
        <f t="shared" si="7"/>
        <v>0</v>
      </c>
      <c r="N183" s="107">
        <f t="shared" si="8"/>
        <v>550</v>
      </c>
      <c r="O183" s="129"/>
      <c r="P183" s="130" t="s">
        <v>77</v>
      </c>
    </row>
    <row r="184" ht="22" customHeight="1" spans="1:16">
      <c r="A184" s="104">
        <v>180</v>
      </c>
      <c r="B184" s="128" t="s">
        <v>477</v>
      </c>
      <c r="C184" s="111" t="s">
        <v>469</v>
      </c>
      <c r="D184" s="111" t="s">
        <v>478</v>
      </c>
      <c r="E184" s="132" t="s">
        <v>460</v>
      </c>
      <c r="F184" s="116">
        <v>37</v>
      </c>
      <c r="G184" s="106"/>
      <c r="H184" s="106"/>
      <c r="I184" s="107">
        <v>15.693275</v>
      </c>
      <c r="J184" s="107"/>
      <c r="K184" s="107">
        <v>10</v>
      </c>
      <c r="L184" s="107">
        <f t="shared" si="6"/>
        <v>580.651175</v>
      </c>
      <c r="M184" s="107">
        <f t="shared" si="7"/>
        <v>0</v>
      </c>
      <c r="N184" s="107">
        <f t="shared" si="8"/>
        <v>370</v>
      </c>
      <c r="O184" s="129"/>
      <c r="P184" s="130" t="s">
        <v>77</v>
      </c>
    </row>
    <row r="185" ht="22" customHeight="1" spans="1:16">
      <c r="A185" s="104">
        <v>181</v>
      </c>
      <c r="B185" s="128" t="s">
        <v>479</v>
      </c>
      <c r="C185" s="111" t="s">
        <v>469</v>
      </c>
      <c r="D185" s="111" t="s">
        <v>472</v>
      </c>
      <c r="E185" s="132" t="s">
        <v>460</v>
      </c>
      <c r="F185" s="116">
        <v>337</v>
      </c>
      <c r="G185" s="106"/>
      <c r="H185" s="106"/>
      <c r="I185" s="107">
        <v>5.8071494</v>
      </c>
      <c r="J185" s="107"/>
      <c r="K185" s="107">
        <v>4</v>
      </c>
      <c r="L185" s="107">
        <f t="shared" si="6"/>
        <v>1957.0093478</v>
      </c>
      <c r="M185" s="107">
        <f t="shared" si="7"/>
        <v>0</v>
      </c>
      <c r="N185" s="107">
        <f t="shared" si="8"/>
        <v>1348</v>
      </c>
      <c r="O185" s="129"/>
      <c r="P185" s="130" t="s">
        <v>77</v>
      </c>
    </row>
    <row r="186" ht="22" customHeight="1" spans="1:16">
      <c r="A186" s="104">
        <v>182</v>
      </c>
      <c r="B186" s="128" t="s">
        <v>480</v>
      </c>
      <c r="C186" s="111" t="s">
        <v>469</v>
      </c>
      <c r="D186" s="140" t="s">
        <v>481</v>
      </c>
      <c r="E186" s="132" t="s">
        <v>460</v>
      </c>
      <c r="F186" s="116">
        <v>276</v>
      </c>
      <c r="G186" s="106"/>
      <c r="H186" s="106"/>
      <c r="I186" s="107">
        <v>5.879133</v>
      </c>
      <c r="J186" s="107"/>
      <c r="K186" s="107">
        <v>4</v>
      </c>
      <c r="L186" s="107">
        <f t="shared" si="6"/>
        <v>1622.640708</v>
      </c>
      <c r="M186" s="107">
        <f t="shared" si="7"/>
        <v>0</v>
      </c>
      <c r="N186" s="107">
        <f t="shared" si="8"/>
        <v>1104</v>
      </c>
      <c r="O186" s="129"/>
      <c r="P186" s="130" t="s">
        <v>77</v>
      </c>
    </row>
    <row r="187" ht="22" customHeight="1" spans="1:16">
      <c r="A187" s="104">
        <v>183</v>
      </c>
      <c r="B187" s="128" t="s">
        <v>482</v>
      </c>
      <c r="C187" s="111" t="s">
        <v>469</v>
      </c>
      <c r="D187" s="111" t="s">
        <v>464</v>
      </c>
      <c r="E187" s="132" t="s">
        <v>460</v>
      </c>
      <c r="F187" s="116">
        <v>690</v>
      </c>
      <c r="G187" s="106"/>
      <c r="H187" s="106"/>
      <c r="I187" s="107">
        <v>5.849376</v>
      </c>
      <c r="J187" s="107"/>
      <c r="K187" s="107">
        <v>4</v>
      </c>
      <c r="L187" s="107">
        <f t="shared" si="6"/>
        <v>4036.06944</v>
      </c>
      <c r="M187" s="107">
        <f t="shared" si="7"/>
        <v>0</v>
      </c>
      <c r="N187" s="107">
        <f t="shared" si="8"/>
        <v>2760</v>
      </c>
      <c r="O187" s="129"/>
      <c r="P187" s="130" t="s">
        <v>77</v>
      </c>
    </row>
    <row r="188" ht="22" customHeight="1" spans="1:16">
      <c r="A188" s="104">
        <v>184</v>
      </c>
      <c r="B188" s="128" t="s">
        <v>483</v>
      </c>
      <c r="C188" s="111" t="s">
        <v>469</v>
      </c>
      <c r="D188" s="111" t="s">
        <v>467</v>
      </c>
      <c r="E188" s="132" t="s">
        <v>460</v>
      </c>
      <c r="F188" s="116">
        <v>386</v>
      </c>
      <c r="G188" s="106"/>
      <c r="H188" s="106"/>
      <c r="I188" s="107">
        <v>7.362732</v>
      </c>
      <c r="J188" s="107"/>
      <c r="K188" s="107">
        <v>5</v>
      </c>
      <c r="L188" s="107">
        <f t="shared" si="6"/>
        <v>2842.014552</v>
      </c>
      <c r="M188" s="107">
        <f t="shared" si="7"/>
        <v>0</v>
      </c>
      <c r="N188" s="107">
        <f t="shared" si="8"/>
        <v>1930</v>
      </c>
      <c r="O188" s="129"/>
      <c r="P188" s="130" t="s">
        <v>77</v>
      </c>
    </row>
    <row r="189" ht="22" customHeight="1" spans="1:16">
      <c r="A189" s="104">
        <v>185</v>
      </c>
      <c r="B189" s="128" t="s">
        <v>484</v>
      </c>
      <c r="C189" s="111" t="s">
        <v>469</v>
      </c>
      <c r="D189" s="140" t="s">
        <v>485</v>
      </c>
      <c r="E189" s="132" t="s">
        <v>460</v>
      </c>
      <c r="F189" s="116">
        <v>184</v>
      </c>
      <c r="G189" s="106"/>
      <c r="H189" s="106"/>
      <c r="I189" s="107">
        <v>7.427914</v>
      </c>
      <c r="J189" s="107"/>
      <c r="K189" s="107">
        <v>5</v>
      </c>
      <c r="L189" s="107">
        <f t="shared" si="6"/>
        <v>1366.736176</v>
      </c>
      <c r="M189" s="107">
        <f t="shared" si="7"/>
        <v>0</v>
      </c>
      <c r="N189" s="107">
        <f t="shared" si="8"/>
        <v>920</v>
      </c>
      <c r="O189" s="129"/>
      <c r="P189" s="130" t="s">
        <v>77</v>
      </c>
    </row>
    <row r="190" ht="22" customHeight="1" spans="1:16">
      <c r="A190" s="104">
        <v>186</v>
      </c>
      <c r="B190" s="128" t="s">
        <v>486</v>
      </c>
      <c r="C190" s="111" t="s">
        <v>469</v>
      </c>
      <c r="D190" s="111" t="s">
        <v>487</v>
      </c>
      <c r="E190" s="132" t="s">
        <v>460</v>
      </c>
      <c r="F190" s="116">
        <v>258</v>
      </c>
      <c r="G190" s="106"/>
      <c r="H190" s="106"/>
      <c r="I190" s="107">
        <v>7.588035</v>
      </c>
      <c r="J190" s="107"/>
      <c r="K190" s="107">
        <v>5</v>
      </c>
      <c r="L190" s="107">
        <f t="shared" si="6"/>
        <v>1957.71303</v>
      </c>
      <c r="M190" s="107">
        <f t="shared" si="7"/>
        <v>0</v>
      </c>
      <c r="N190" s="107">
        <f t="shared" si="8"/>
        <v>1290</v>
      </c>
      <c r="O190" s="129"/>
      <c r="P190" s="130" t="s">
        <v>77</v>
      </c>
    </row>
    <row r="191" ht="22" customHeight="1" spans="1:16">
      <c r="A191" s="104">
        <v>187</v>
      </c>
      <c r="B191" s="128" t="s">
        <v>488</v>
      </c>
      <c r="C191" s="111" t="s">
        <v>469</v>
      </c>
      <c r="D191" s="111" t="s">
        <v>489</v>
      </c>
      <c r="E191" s="132" t="s">
        <v>460</v>
      </c>
      <c r="F191" s="116">
        <v>110</v>
      </c>
      <c r="G191" s="106"/>
      <c r="H191" s="106"/>
      <c r="I191" s="107">
        <v>9.01212</v>
      </c>
      <c r="J191" s="107"/>
      <c r="K191" s="107">
        <v>6</v>
      </c>
      <c r="L191" s="107">
        <f t="shared" si="6"/>
        <v>991.3332</v>
      </c>
      <c r="M191" s="107">
        <f t="shared" si="7"/>
        <v>0</v>
      </c>
      <c r="N191" s="107">
        <f t="shared" si="8"/>
        <v>660</v>
      </c>
      <c r="O191" s="129"/>
      <c r="P191" s="130" t="s">
        <v>77</v>
      </c>
    </row>
    <row r="192" ht="22" customHeight="1" spans="1:16">
      <c r="A192" s="104">
        <v>188</v>
      </c>
      <c r="B192" s="128" t="s">
        <v>490</v>
      </c>
      <c r="C192" s="111" t="s">
        <v>469</v>
      </c>
      <c r="D192" s="111" t="s">
        <v>491</v>
      </c>
      <c r="E192" s="132" t="s">
        <v>460</v>
      </c>
      <c r="F192" s="116">
        <v>18</v>
      </c>
      <c r="G192" s="106"/>
      <c r="H192" s="106"/>
      <c r="I192" s="107">
        <v>10.718188</v>
      </c>
      <c r="J192" s="107"/>
      <c r="K192" s="107">
        <v>7</v>
      </c>
      <c r="L192" s="107">
        <f t="shared" si="6"/>
        <v>192.927384</v>
      </c>
      <c r="M192" s="107">
        <f t="shared" si="7"/>
        <v>0</v>
      </c>
      <c r="N192" s="107">
        <f t="shared" si="8"/>
        <v>126</v>
      </c>
      <c r="O192" s="129"/>
      <c r="P192" s="130" t="s">
        <v>77</v>
      </c>
    </row>
    <row r="193" ht="22" customHeight="1" spans="1:16">
      <c r="A193" s="104">
        <v>189</v>
      </c>
      <c r="B193" s="128" t="s">
        <v>492</v>
      </c>
      <c r="C193" s="111" t="s">
        <v>469</v>
      </c>
      <c r="D193" s="140" t="s">
        <v>493</v>
      </c>
      <c r="E193" s="132" t="s">
        <v>460</v>
      </c>
      <c r="F193" s="116">
        <v>74</v>
      </c>
      <c r="G193" s="106"/>
      <c r="H193" s="106"/>
      <c r="I193" s="107">
        <v>10.75503</v>
      </c>
      <c r="J193" s="107"/>
      <c r="K193" s="107">
        <v>7</v>
      </c>
      <c r="L193" s="107">
        <f t="shared" si="6"/>
        <v>795.87222</v>
      </c>
      <c r="M193" s="107">
        <f t="shared" si="7"/>
        <v>0</v>
      </c>
      <c r="N193" s="107">
        <f t="shared" si="8"/>
        <v>518</v>
      </c>
      <c r="O193" s="129"/>
      <c r="P193" s="130" t="s">
        <v>77</v>
      </c>
    </row>
    <row r="194" ht="22" customHeight="1" spans="1:16">
      <c r="A194" s="104">
        <v>190</v>
      </c>
      <c r="B194" s="128" t="s">
        <v>494</v>
      </c>
      <c r="C194" s="111" t="s">
        <v>469</v>
      </c>
      <c r="D194" s="111" t="s">
        <v>495</v>
      </c>
      <c r="E194" s="132" t="s">
        <v>460</v>
      </c>
      <c r="F194" s="116">
        <v>18</v>
      </c>
      <c r="G194" s="106"/>
      <c r="H194" s="106"/>
      <c r="I194" s="107">
        <v>12.655227</v>
      </c>
      <c r="J194" s="107"/>
      <c r="K194" s="107">
        <v>8</v>
      </c>
      <c r="L194" s="107">
        <f t="shared" si="6"/>
        <v>227.794086</v>
      </c>
      <c r="M194" s="107">
        <f t="shared" si="7"/>
        <v>0</v>
      </c>
      <c r="N194" s="107">
        <f t="shared" si="8"/>
        <v>144</v>
      </c>
      <c r="O194" s="129"/>
      <c r="P194" s="130" t="s">
        <v>77</v>
      </c>
    </row>
    <row r="195" ht="22" customHeight="1" spans="1:16">
      <c r="A195" s="104">
        <v>191</v>
      </c>
      <c r="B195" s="128" t="s">
        <v>496</v>
      </c>
      <c r="C195" s="111" t="s">
        <v>469</v>
      </c>
      <c r="D195" s="140" t="s">
        <v>497</v>
      </c>
      <c r="E195" s="132" t="s">
        <v>460</v>
      </c>
      <c r="F195" s="116">
        <v>138</v>
      </c>
      <c r="G195" s="106"/>
      <c r="H195" s="106"/>
      <c r="I195" s="107">
        <v>15.653599</v>
      </c>
      <c r="J195" s="107"/>
      <c r="K195" s="107">
        <v>10</v>
      </c>
      <c r="L195" s="107">
        <f t="shared" si="6"/>
        <v>2160.196662</v>
      </c>
      <c r="M195" s="107">
        <f t="shared" si="7"/>
        <v>0</v>
      </c>
      <c r="N195" s="107">
        <f t="shared" si="8"/>
        <v>1380</v>
      </c>
      <c r="O195" s="129"/>
      <c r="P195" s="130" t="s">
        <v>77</v>
      </c>
    </row>
    <row r="196" ht="22" customHeight="1" spans="1:16">
      <c r="A196" s="104">
        <v>192</v>
      </c>
      <c r="B196" s="128" t="s">
        <v>498</v>
      </c>
      <c r="C196" s="111" t="s">
        <v>469</v>
      </c>
      <c r="D196" s="111" t="s">
        <v>499</v>
      </c>
      <c r="E196" s="132" t="s">
        <v>460</v>
      </c>
      <c r="F196" s="116">
        <v>267</v>
      </c>
      <c r="G196" s="106"/>
      <c r="H196" s="106"/>
      <c r="I196" s="107">
        <v>16.363516</v>
      </c>
      <c r="J196" s="107"/>
      <c r="K196" s="107">
        <v>10</v>
      </c>
      <c r="L196" s="107">
        <f t="shared" si="6"/>
        <v>4369.058772</v>
      </c>
      <c r="M196" s="107">
        <f t="shared" si="7"/>
        <v>0</v>
      </c>
      <c r="N196" s="107">
        <f t="shared" si="8"/>
        <v>2670</v>
      </c>
      <c r="O196" s="129"/>
      <c r="P196" s="130" t="s">
        <v>77</v>
      </c>
    </row>
    <row r="197" ht="22" customHeight="1" spans="1:16">
      <c r="A197" s="104">
        <v>193</v>
      </c>
      <c r="B197" s="128" t="s">
        <v>500</v>
      </c>
      <c r="C197" s="111" t="s">
        <v>469</v>
      </c>
      <c r="D197" s="111" t="s">
        <v>501</v>
      </c>
      <c r="E197" s="132" t="s">
        <v>460</v>
      </c>
      <c r="F197" s="116">
        <v>442</v>
      </c>
      <c r="G197" s="106"/>
      <c r="H197" s="106"/>
      <c r="I197" s="107">
        <v>16.814122</v>
      </c>
      <c r="J197" s="107"/>
      <c r="K197" s="107">
        <v>10.5</v>
      </c>
      <c r="L197" s="107">
        <f t="shared" si="6"/>
        <v>7431.841924</v>
      </c>
      <c r="M197" s="107">
        <f t="shared" si="7"/>
        <v>0</v>
      </c>
      <c r="N197" s="107">
        <f t="shared" si="8"/>
        <v>4641</v>
      </c>
      <c r="O197" s="129"/>
      <c r="P197" s="130" t="s">
        <v>77</v>
      </c>
    </row>
    <row r="198" ht="22" customHeight="1" spans="1:16">
      <c r="A198" s="104">
        <v>194</v>
      </c>
      <c r="B198" s="128" t="s">
        <v>502</v>
      </c>
      <c r="C198" s="111" t="s">
        <v>469</v>
      </c>
      <c r="D198" s="111" t="s">
        <v>503</v>
      </c>
      <c r="E198" s="132" t="s">
        <v>460</v>
      </c>
      <c r="F198" s="116">
        <v>74</v>
      </c>
      <c r="G198" s="106"/>
      <c r="H198" s="106"/>
      <c r="I198" s="107">
        <v>23.435763</v>
      </c>
      <c r="J198" s="107"/>
      <c r="K198" s="107">
        <v>15</v>
      </c>
      <c r="L198" s="107">
        <f t="shared" si="6"/>
        <v>1734.246462</v>
      </c>
      <c r="M198" s="107">
        <f t="shared" si="7"/>
        <v>0</v>
      </c>
      <c r="N198" s="107">
        <f t="shared" si="8"/>
        <v>1110</v>
      </c>
      <c r="O198" s="129"/>
      <c r="P198" s="130" t="s">
        <v>77</v>
      </c>
    </row>
    <row r="199" s="96" customFormat="1" ht="30" customHeight="1" spans="1:16">
      <c r="A199" s="141">
        <v>195</v>
      </c>
      <c r="B199" s="142" t="s">
        <v>504</v>
      </c>
      <c r="C199" s="143" t="s">
        <v>469</v>
      </c>
      <c r="D199" s="143" t="s">
        <v>505</v>
      </c>
      <c r="E199" s="144" t="s">
        <v>460</v>
      </c>
      <c r="F199" s="145">
        <v>534</v>
      </c>
      <c r="G199" s="146"/>
      <c r="H199" s="146"/>
      <c r="I199" s="147">
        <v>31.7174195</v>
      </c>
      <c r="J199" s="147"/>
      <c r="K199" s="147">
        <v>20</v>
      </c>
      <c r="L199" s="147">
        <f t="shared" ref="L199:L262" si="9">F199*I199</f>
        <v>16937.102013</v>
      </c>
      <c r="M199" s="147">
        <f t="shared" ref="M199:M262" si="10">F199*J199</f>
        <v>0</v>
      </c>
      <c r="N199" s="147">
        <f t="shared" ref="N199:N262" si="11">F199*K199</f>
        <v>10680</v>
      </c>
      <c r="O199" s="148"/>
      <c r="P199" s="130" t="s">
        <v>77</v>
      </c>
    </row>
    <row r="200" ht="29" customHeight="1" spans="1:16">
      <c r="A200" s="104">
        <v>196</v>
      </c>
      <c r="B200" s="128" t="s">
        <v>506</v>
      </c>
      <c r="C200" s="111" t="s">
        <v>469</v>
      </c>
      <c r="D200" s="111" t="s">
        <v>507</v>
      </c>
      <c r="E200" s="132" t="s">
        <v>460</v>
      </c>
      <c r="F200" s="116">
        <v>2576</v>
      </c>
      <c r="G200" s="106"/>
      <c r="H200" s="106"/>
      <c r="I200" s="107">
        <v>40.34199</v>
      </c>
      <c r="J200" s="107"/>
      <c r="K200" s="107">
        <v>25</v>
      </c>
      <c r="L200" s="107">
        <f t="shared" si="9"/>
        <v>103920.96624</v>
      </c>
      <c r="M200" s="107">
        <f t="shared" si="10"/>
        <v>0</v>
      </c>
      <c r="N200" s="107">
        <f t="shared" si="11"/>
        <v>64400</v>
      </c>
      <c r="O200" s="129"/>
      <c r="P200" s="130" t="s">
        <v>77</v>
      </c>
    </row>
    <row r="201" ht="31" customHeight="1" spans="1:16">
      <c r="A201" s="104">
        <v>197</v>
      </c>
      <c r="B201" s="128" t="s">
        <v>508</v>
      </c>
      <c r="C201" s="111" t="s">
        <v>509</v>
      </c>
      <c r="D201" s="111" t="s">
        <v>464</v>
      </c>
      <c r="E201" s="132" t="s">
        <v>460</v>
      </c>
      <c r="F201" s="116">
        <v>55</v>
      </c>
      <c r="G201" s="106"/>
      <c r="H201" s="106"/>
      <c r="I201" s="107">
        <v>5.811117</v>
      </c>
      <c r="J201" s="107"/>
      <c r="K201" s="107">
        <v>4</v>
      </c>
      <c r="L201" s="107">
        <f t="shared" si="9"/>
        <v>319.611435</v>
      </c>
      <c r="M201" s="107">
        <f t="shared" si="10"/>
        <v>0</v>
      </c>
      <c r="N201" s="107">
        <f t="shared" si="11"/>
        <v>220</v>
      </c>
      <c r="O201" s="129"/>
      <c r="P201" s="130" t="s">
        <v>77</v>
      </c>
    </row>
    <row r="202" ht="28" customHeight="1" spans="1:16">
      <c r="A202" s="104">
        <v>198</v>
      </c>
      <c r="B202" s="128" t="s">
        <v>510</v>
      </c>
      <c r="C202" s="111" t="s">
        <v>511</v>
      </c>
      <c r="D202" s="111" t="s">
        <v>464</v>
      </c>
      <c r="E202" s="132" t="s">
        <v>460</v>
      </c>
      <c r="F202" s="116">
        <v>2429</v>
      </c>
      <c r="G202" s="106"/>
      <c r="H202" s="106"/>
      <c r="I202" s="107">
        <v>5.811117</v>
      </c>
      <c r="J202" s="107"/>
      <c r="K202" s="107">
        <v>4</v>
      </c>
      <c r="L202" s="107">
        <f t="shared" si="9"/>
        <v>14115.203193</v>
      </c>
      <c r="M202" s="107">
        <f t="shared" si="10"/>
        <v>0</v>
      </c>
      <c r="N202" s="107">
        <f t="shared" si="11"/>
        <v>9716</v>
      </c>
      <c r="O202" s="129"/>
      <c r="P202" s="130" t="s">
        <v>77</v>
      </c>
    </row>
    <row r="203" ht="22" customHeight="1" spans="1:16">
      <c r="A203" s="104">
        <v>199</v>
      </c>
      <c r="B203" s="128" t="s">
        <v>512</v>
      </c>
      <c r="C203" s="111" t="s">
        <v>511</v>
      </c>
      <c r="D203" s="111" t="s">
        <v>513</v>
      </c>
      <c r="E203" s="132" t="s">
        <v>460</v>
      </c>
      <c r="F203" s="116">
        <v>534</v>
      </c>
      <c r="G203" s="106"/>
      <c r="H203" s="106"/>
      <c r="I203" s="107">
        <v>5.847959</v>
      </c>
      <c r="J203" s="107"/>
      <c r="K203" s="107">
        <v>4</v>
      </c>
      <c r="L203" s="107">
        <f t="shared" si="9"/>
        <v>3122.810106</v>
      </c>
      <c r="M203" s="107">
        <f t="shared" si="10"/>
        <v>0</v>
      </c>
      <c r="N203" s="107">
        <f t="shared" si="11"/>
        <v>2136</v>
      </c>
      <c r="O203" s="129"/>
      <c r="P203" s="130" t="s">
        <v>77</v>
      </c>
    </row>
    <row r="204" ht="33" customHeight="1" spans="1:16">
      <c r="A204" s="104">
        <v>200</v>
      </c>
      <c r="B204" s="128" t="s">
        <v>514</v>
      </c>
      <c r="C204" s="111" t="s">
        <v>511</v>
      </c>
      <c r="D204" s="111" t="s">
        <v>467</v>
      </c>
      <c r="E204" s="132" t="s">
        <v>460</v>
      </c>
      <c r="F204" s="116">
        <v>368</v>
      </c>
      <c r="G204" s="106"/>
      <c r="H204" s="106"/>
      <c r="I204" s="107">
        <v>7.306052</v>
      </c>
      <c r="J204" s="107"/>
      <c r="K204" s="107">
        <v>5</v>
      </c>
      <c r="L204" s="107">
        <f t="shared" si="9"/>
        <v>2688.627136</v>
      </c>
      <c r="M204" s="107">
        <f t="shared" si="10"/>
        <v>0</v>
      </c>
      <c r="N204" s="107">
        <f t="shared" si="11"/>
        <v>1840</v>
      </c>
      <c r="O204" s="129"/>
      <c r="P204" s="130" t="s">
        <v>77</v>
      </c>
    </row>
    <row r="205" ht="22" customHeight="1" spans="1:16">
      <c r="A205" s="104">
        <v>201</v>
      </c>
      <c r="B205" s="128" t="s">
        <v>515</v>
      </c>
      <c r="C205" s="111" t="s">
        <v>511</v>
      </c>
      <c r="D205" s="111" t="s">
        <v>485</v>
      </c>
      <c r="E205" s="132" t="s">
        <v>460</v>
      </c>
      <c r="F205" s="116">
        <v>202</v>
      </c>
      <c r="G205" s="106"/>
      <c r="H205" s="106"/>
      <c r="I205" s="107">
        <v>8.775481</v>
      </c>
      <c r="J205" s="107"/>
      <c r="K205" s="107">
        <v>6</v>
      </c>
      <c r="L205" s="107">
        <f t="shared" si="9"/>
        <v>1772.647162</v>
      </c>
      <c r="M205" s="107">
        <f t="shared" si="10"/>
        <v>0</v>
      </c>
      <c r="N205" s="107">
        <f t="shared" si="11"/>
        <v>1212</v>
      </c>
      <c r="O205" s="129"/>
      <c r="P205" s="130" t="s">
        <v>77</v>
      </c>
    </row>
    <row r="206" ht="22" customHeight="1" spans="1:16">
      <c r="A206" s="104">
        <v>202</v>
      </c>
      <c r="B206" s="128" t="s">
        <v>516</v>
      </c>
      <c r="C206" s="111" t="s">
        <v>511</v>
      </c>
      <c r="D206" s="111" t="s">
        <v>499</v>
      </c>
      <c r="E206" s="132" t="s">
        <v>460</v>
      </c>
      <c r="F206" s="116">
        <v>552</v>
      </c>
      <c r="G206" s="106"/>
      <c r="H206" s="106"/>
      <c r="I206" s="107">
        <v>18.786586</v>
      </c>
      <c r="J206" s="107"/>
      <c r="K206" s="107">
        <v>12</v>
      </c>
      <c r="L206" s="107">
        <f t="shared" si="9"/>
        <v>10370.195472</v>
      </c>
      <c r="M206" s="107">
        <f t="shared" si="10"/>
        <v>0</v>
      </c>
      <c r="N206" s="107">
        <f t="shared" si="11"/>
        <v>6624</v>
      </c>
      <c r="O206" s="129"/>
      <c r="P206" s="130" t="s">
        <v>77</v>
      </c>
    </row>
    <row r="207" ht="33" customHeight="1" spans="1:16">
      <c r="A207" s="104">
        <v>203</v>
      </c>
      <c r="B207" s="128" t="s">
        <v>517</v>
      </c>
      <c r="C207" s="111" t="s">
        <v>518</v>
      </c>
      <c r="D207" s="111" t="s">
        <v>519</v>
      </c>
      <c r="E207" s="132" t="s">
        <v>460</v>
      </c>
      <c r="F207" s="116">
        <v>1012</v>
      </c>
      <c r="G207" s="106"/>
      <c r="H207" s="106"/>
      <c r="I207" s="107">
        <v>8.79342022</v>
      </c>
      <c r="J207" s="107"/>
      <c r="K207" s="107">
        <v>6</v>
      </c>
      <c r="L207" s="107">
        <f t="shared" si="9"/>
        <v>8898.94126264</v>
      </c>
      <c r="M207" s="107">
        <f t="shared" si="10"/>
        <v>0</v>
      </c>
      <c r="N207" s="107">
        <f t="shared" si="11"/>
        <v>6072</v>
      </c>
      <c r="O207" s="129"/>
      <c r="P207" s="130" t="s">
        <v>77</v>
      </c>
    </row>
    <row r="208" ht="34" customHeight="1" spans="1:16">
      <c r="A208" s="104">
        <v>204</v>
      </c>
      <c r="B208" s="128" t="s">
        <v>520</v>
      </c>
      <c r="C208" s="111" t="s">
        <v>518</v>
      </c>
      <c r="D208" s="111" t="s">
        <v>521</v>
      </c>
      <c r="E208" s="132" t="s">
        <v>460</v>
      </c>
      <c r="F208" s="116">
        <v>184</v>
      </c>
      <c r="G208" s="106"/>
      <c r="H208" s="106"/>
      <c r="I208" s="107">
        <v>26.218751</v>
      </c>
      <c r="J208" s="107"/>
      <c r="K208" s="107">
        <v>15</v>
      </c>
      <c r="L208" s="107">
        <f t="shared" si="9"/>
        <v>4824.250184</v>
      </c>
      <c r="M208" s="107">
        <f t="shared" si="10"/>
        <v>0</v>
      </c>
      <c r="N208" s="107">
        <f t="shared" si="11"/>
        <v>2760</v>
      </c>
      <c r="O208" s="129"/>
      <c r="P208" s="130" t="s">
        <v>77</v>
      </c>
    </row>
    <row r="209" ht="22" customHeight="1" spans="1:16">
      <c r="A209" s="104">
        <v>205</v>
      </c>
      <c r="B209" s="128" t="s">
        <v>522</v>
      </c>
      <c r="C209" s="111" t="s">
        <v>518</v>
      </c>
      <c r="D209" s="111" t="s">
        <v>523</v>
      </c>
      <c r="E209" s="132" t="s">
        <v>460</v>
      </c>
      <c r="F209" s="116">
        <v>184</v>
      </c>
      <c r="G209" s="106"/>
      <c r="H209" s="106"/>
      <c r="I209" s="107">
        <v>22.57599825</v>
      </c>
      <c r="J209" s="107"/>
      <c r="K209" s="107">
        <v>15</v>
      </c>
      <c r="L209" s="107">
        <f t="shared" si="9"/>
        <v>4153.983678</v>
      </c>
      <c r="M209" s="107">
        <f t="shared" si="10"/>
        <v>0</v>
      </c>
      <c r="N209" s="107">
        <f t="shared" si="11"/>
        <v>2760</v>
      </c>
      <c r="O209" s="129"/>
      <c r="P209" s="130" t="s">
        <v>77</v>
      </c>
    </row>
    <row r="210" ht="22" customHeight="1" spans="1:16">
      <c r="A210" s="104">
        <v>206</v>
      </c>
      <c r="B210" s="128" t="s">
        <v>524</v>
      </c>
      <c r="C210" s="111" t="s">
        <v>518</v>
      </c>
      <c r="D210" s="111" t="s">
        <v>525</v>
      </c>
      <c r="E210" s="132" t="s">
        <v>460</v>
      </c>
      <c r="F210" s="116">
        <v>184</v>
      </c>
      <c r="G210" s="106"/>
      <c r="H210" s="106"/>
      <c r="I210" s="107">
        <v>15.0987018</v>
      </c>
      <c r="J210" s="107"/>
      <c r="K210" s="107">
        <v>10</v>
      </c>
      <c r="L210" s="107">
        <f t="shared" si="9"/>
        <v>2778.1611312</v>
      </c>
      <c r="M210" s="107">
        <f t="shared" si="10"/>
        <v>0</v>
      </c>
      <c r="N210" s="107">
        <f t="shared" si="11"/>
        <v>1840</v>
      </c>
      <c r="O210" s="129"/>
      <c r="P210" s="130" t="s">
        <v>77</v>
      </c>
    </row>
    <row r="211" ht="22" customHeight="1" spans="1:16">
      <c r="A211" s="104">
        <v>207</v>
      </c>
      <c r="B211" s="128" t="s">
        <v>526</v>
      </c>
      <c r="C211" s="111" t="s">
        <v>518</v>
      </c>
      <c r="D211" s="111" t="s">
        <v>527</v>
      </c>
      <c r="E211" s="132" t="s">
        <v>460</v>
      </c>
      <c r="F211" s="116">
        <v>368</v>
      </c>
      <c r="G211" s="106"/>
      <c r="H211" s="106"/>
      <c r="I211" s="107">
        <v>36.34605</v>
      </c>
      <c r="J211" s="107"/>
      <c r="K211" s="107">
        <v>20</v>
      </c>
      <c r="L211" s="107">
        <f t="shared" si="9"/>
        <v>13375.3464</v>
      </c>
      <c r="M211" s="107">
        <f t="shared" si="10"/>
        <v>0</v>
      </c>
      <c r="N211" s="107">
        <f t="shared" si="11"/>
        <v>7360</v>
      </c>
      <c r="O211" s="129"/>
      <c r="P211" s="130" t="s">
        <v>77</v>
      </c>
    </row>
    <row r="212" ht="22" customHeight="1" spans="1:16">
      <c r="A212" s="104">
        <v>208</v>
      </c>
      <c r="B212" s="128" t="s">
        <v>528</v>
      </c>
      <c r="C212" s="111" t="s">
        <v>529</v>
      </c>
      <c r="D212" s="111" t="s">
        <v>527</v>
      </c>
      <c r="E212" s="132" t="s">
        <v>460</v>
      </c>
      <c r="F212" s="116">
        <v>110</v>
      </c>
      <c r="G212" s="106"/>
      <c r="H212" s="106"/>
      <c r="I212" s="107">
        <v>36.34605</v>
      </c>
      <c r="J212" s="107"/>
      <c r="K212" s="107">
        <v>20</v>
      </c>
      <c r="L212" s="107">
        <f t="shared" si="9"/>
        <v>3998.0655</v>
      </c>
      <c r="M212" s="107">
        <f t="shared" si="10"/>
        <v>0</v>
      </c>
      <c r="N212" s="107">
        <f t="shared" si="11"/>
        <v>2200</v>
      </c>
      <c r="O212" s="129"/>
      <c r="P212" s="130" t="s">
        <v>77</v>
      </c>
    </row>
    <row r="213" ht="22" customHeight="1" spans="1:16">
      <c r="A213" s="104">
        <v>209</v>
      </c>
      <c r="B213" s="128" t="s">
        <v>530</v>
      </c>
      <c r="C213" s="111" t="s">
        <v>531</v>
      </c>
      <c r="D213" s="111" t="s">
        <v>532</v>
      </c>
      <c r="E213" s="132" t="s">
        <v>460</v>
      </c>
      <c r="F213" s="116">
        <v>543</v>
      </c>
      <c r="G213" s="106"/>
      <c r="H213" s="106"/>
      <c r="I213" s="107">
        <v>5.830955</v>
      </c>
      <c r="J213" s="107"/>
      <c r="K213" s="107">
        <v>4</v>
      </c>
      <c r="L213" s="107">
        <f t="shared" si="9"/>
        <v>3166.208565</v>
      </c>
      <c r="M213" s="107">
        <f t="shared" si="10"/>
        <v>0</v>
      </c>
      <c r="N213" s="107">
        <f t="shared" si="11"/>
        <v>2172</v>
      </c>
      <c r="O213" s="129"/>
      <c r="P213" s="130" t="s">
        <v>77</v>
      </c>
    </row>
    <row r="214" ht="22" customHeight="1" spans="1:16">
      <c r="A214" s="104">
        <v>210</v>
      </c>
      <c r="B214" s="128" t="s">
        <v>533</v>
      </c>
      <c r="C214" s="111" t="s">
        <v>531</v>
      </c>
      <c r="D214" s="111" t="s">
        <v>534</v>
      </c>
      <c r="E214" s="132" t="s">
        <v>460</v>
      </c>
      <c r="F214" s="116">
        <v>228</v>
      </c>
      <c r="G214" s="106"/>
      <c r="H214" s="106"/>
      <c r="I214" s="107">
        <v>6.037837</v>
      </c>
      <c r="J214" s="107"/>
      <c r="K214" s="107">
        <v>4</v>
      </c>
      <c r="L214" s="107">
        <f t="shared" si="9"/>
        <v>1376.626836</v>
      </c>
      <c r="M214" s="107">
        <f t="shared" si="10"/>
        <v>0</v>
      </c>
      <c r="N214" s="107">
        <f t="shared" si="11"/>
        <v>912</v>
      </c>
      <c r="O214" s="129"/>
      <c r="P214" s="130" t="s">
        <v>77</v>
      </c>
    </row>
    <row r="215" ht="28" customHeight="1" spans="1:16">
      <c r="A215" s="104">
        <v>211</v>
      </c>
      <c r="B215" s="128" t="s">
        <v>535</v>
      </c>
      <c r="C215" s="111" t="s">
        <v>536</v>
      </c>
      <c r="D215" s="111" t="s">
        <v>464</v>
      </c>
      <c r="E215" s="132" t="s">
        <v>460</v>
      </c>
      <c r="F215" s="116">
        <v>386</v>
      </c>
      <c r="G215" s="106"/>
      <c r="H215" s="106"/>
      <c r="I215" s="107">
        <v>5.836623</v>
      </c>
      <c r="J215" s="107"/>
      <c r="K215" s="107">
        <v>4</v>
      </c>
      <c r="L215" s="107">
        <f t="shared" si="9"/>
        <v>2252.936478</v>
      </c>
      <c r="M215" s="107">
        <f t="shared" si="10"/>
        <v>0</v>
      </c>
      <c r="N215" s="107">
        <f t="shared" si="11"/>
        <v>1544</v>
      </c>
      <c r="O215" s="129"/>
      <c r="P215" s="130" t="s">
        <v>77</v>
      </c>
    </row>
    <row r="216" ht="22" customHeight="1" spans="1:16">
      <c r="A216" s="104">
        <v>212</v>
      </c>
      <c r="B216" s="128" t="s">
        <v>537</v>
      </c>
      <c r="C216" s="111" t="s">
        <v>536</v>
      </c>
      <c r="D216" s="111" t="s">
        <v>538</v>
      </c>
      <c r="E216" s="132" t="s">
        <v>460</v>
      </c>
      <c r="F216" s="116">
        <v>5721</v>
      </c>
      <c r="G216" s="106"/>
      <c r="H216" s="106"/>
      <c r="I216" s="107">
        <v>5.785611</v>
      </c>
      <c r="J216" s="107"/>
      <c r="K216" s="107">
        <v>4</v>
      </c>
      <c r="L216" s="107">
        <f t="shared" si="9"/>
        <v>33099.480531</v>
      </c>
      <c r="M216" s="107">
        <f t="shared" si="10"/>
        <v>0</v>
      </c>
      <c r="N216" s="107">
        <f t="shared" si="11"/>
        <v>22884</v>
      </c>
      <c r="O216" s="129"/>
      <c r="P216" s="130" t="s">
        <v>77</v>
      </c>
    </row>
    <row r="217" ht="22" customHeight="1" spans="1:16">
      <c r="A217" s="104">
        <v>213</v>
      </c>
      <c r="B217" s="128" t="s">
        <v>539</v>
      </c>
      <c r="C217" s="111" t="s">
        <v>536</v>
      </c>
      <c r="D217" s="111" t="s">
        <v>540</v>
      </c>
      <c r="E217" s="132" t="s">
        <v>460</v>
      </c>
      <c r="F217" s="116">
        <v>3224</v>
      </c>
      <c r="G217" s="106"/>
      <c r="H217" s="106"/>
      <c r="I217" s="107">
        <v>7.230951</v>
      </c>
      <c r="J217" s="107"/>
      <c r="K217" s="107">
        <v>5</v>
      </c>
      <c r="L217" s="107">
        <f t="shared" si="9"/>
        <v>23312.586024</v>
      </c>
      <c r="M217" s="107">
        <f t="shared" si="10"/>
        <v>0</v>
      </c>
      <c r="N217" s="107">
        <f t="shared" si="11"/>
        <v>16120</v>
      </c>
      <c r="O217" s="129"/>
      <c r="P217" s="130" t="s">
        <v>77</v>
      </c>
    </row>
    <row r="218" ht="22" customHeight="1" spans="1:16">
      <c r="A218" s="104">
        <v>214</v>
      </c>
      <c r="B218" s="128" t="s">
        <v>541</v>
      </c>
      <c r="C218" s="111" t="s">
        <v>536</v>
      </c>
      <c r="D218" s="111" t="s">
        <v>542</v>
      </c>
      <c r="E218" s="132" t="s">
        <v>460</v>
      </c>
      <c r="F218" s="116">
        <v>3485</v>
      </c>
      <c r="G218" s="106"/>
      <c r="H218" s="106"/>
      <c r="I218" s="107">
        <v>8.687627</v>
      </c>
      <c r="J218" s="107"/>
      <c r="K218" s="107">
        <v>6</v>
      </c>
      <c r="L218" s="107">
        <f t="shared" si="9"/>
        <v>30276.380095</v>
      </c>
      <c r="M218" s="107">
        <f t="shared" si="10"/>
        <v>0</v>
      </c>
      <c r="N218" s="107">
        <f t="shared" si="11"/>
        <v>20910</v>
      </c>
      <c r="O218" s="129"/>
      <c r="P218" s="130" t="s">
        <v>77</v>
      </c>
    </row>
    <row r="219" ht="22" customHeight="1" spans="1:16">
      <c r="A219" s="104">
        <v>215</v>
      </c>
      <c r="B219" s="128" t="s">
        <v>543</v>
      </c>
      <c r="C219" s="111" t="s">
        <v>536</v>
      </c>
      <c r="D219" s="111" t="s">
        <v>544</v>
      </c>
      <c r="E219" s="132" t="s">
        <v>460</v>
      </c>
      <c r="F219" s="116">
        <v>1058</v>
      </c>
      <c r="G219" s="106"/>
      <c r="H219" s="106"/>
      <c r="I219" s="107">
        <v>5.931562</v>
      </c>
      <c r="J219" s="107"/>
      <c r="K219" s="107">
        <v>4</v>
      </c>
      <c r="L219" s="107">
        <f t="shared" si="9"/>
        <v>6275.592596</v>
      </c>
      <c r="M219" s="107">
        <f t="shared" si="10"/>
        <v>0</v>
      </c>
      <c r="N219" s="107">
        <f t="shared" si="11"/>
        <v>4232</v>
      </c>
      <c r="O219" s="129"/>
      <c r="P219" s="130" t="s">
        <v>77</v>
      </c>
    </row>
    <row r="220" ht="22" customHeight="1" spans="1:16">
      <c r="A220" s="104">
        <v>216</v>
      </c>
      <c r="B220" s="128" t="s">
        <v>545</v>
      </c>
      <c r="C220" s="111" t="s">
        <v>536</v>
      </c>
      <c r="D220" s="111" t="s">
        <v>546</v>
      </c>
      <c r="E220" s="132" t="s">
        <v>460</v>
      </c>
      <c r="F220" s="116">
        <v>672</v>
      </c>
      <c r="G220" s="106"/>
      <c r="H220" s="106"/>
      <c r="I220" s="107">
        <v>5.976906</v>
      </c>
      <c r="J220" s="107"/>
      <c r="K220" s="107">
        <v>4</v>
      </c>
      <c r="L220" s="107">
        <f t="shared" si="9"/>
        <v>4016.480832</v>
      </c>
      <c r="M220" s="107">
        <f t="shared" si="10"/>
        <v>0</v>
      </c>
      <c r="N220" s="107">
        <f t="shared" si="11"/>
        <v>2688</v>
      </c>
      <c r="O220" s="129"/>
      <c r="P220" s="130" t="s">
        <v>77</v>
      </c>
    </row>
    <row r="221" ht="22" customHeight="1" spans="1:16">
      <c r="A221" s="104">
        <v>217</v>
      </c>
      <c r="B221" s="128" t="s">
        <v>547</v>
      </c>
      <c r="C221" s="111" t="s">
        <v>536</v>
      </c>
      <c r="D221" s="111" t="s">
        <v>548</v>
      </c>
      <c r="E221" s="132" t="s">
        <v>460</v>
      </c>
      <c r="F221" s="116">
        <v>166</v>
      </c>
      <c r="G221" s="106"/>
      <c r="H221" s="106"/>
      <c r="I221" s="107">
        <v>6.016582</v>
      </c>
      <c r="J221" s="107"/>
      <c r="K221" s="107">
        <v>4</v>
      </c>
      <c r="L221" s="107">
        <f t="shared" si="9"/>
        <v>998.752612</v>
      </c>
      <c r="M221" s="107">
        <f t="shared" si="10"/>
        <v>0</v>
      </c>
      <c r="N221" s="107">
        <f t="shared" si="11"/>
        <v>664</v>
      </c>
      <c r="O221" s="129"/>
      <c r="P221" s="130" t="s">
        <v>77</v>
      </c>
    </row>
    <row r="222" ht="22" customHeight="1" spans="1:16">
      <c r="A222" s="104">
        <v>218</v>
      </c>
      <c r="B222" s="128" t="s">
        <v>549</v>
      </c>
      <c r="C222" s="111" t="s">
        <v>536</v>
      </c>
      <c r="D222" s="111" t="s">
        <v>550</v>
      </c>
      <c r="E222" s="132" t="s">
        <v>460</v>
      </c>
      <c r="F222" s="116">
        <v>294</v>
      </c>
      <c r="G222" s="106"/>
      <c r="H222" s="106"/>
      <c r="I222" s="107">
        <v>7.474675</v>
      </c>
      <c r="J222" s="107"/>
      <c r="K222" s="107">
        <v>5</v>
      </c>
      <c r="L222" s="107">
        <f t="shared" si="9"/>
        <v>2197.55445</v>
      </c>
      <c r="M222" s="107">
        <f t="shared" si="10"/>
        <v>0</v>
      </c>
      <c r="N222" s="107">
        <f t="shared" si="11"/>
        <v>1470</v>
      </c>
      <c r="O222" s="129"/>
      <c r="P222" s="130" t="s">
        <v>77</v>
      </c>
    </row>
    <row r="223" ht="22" customHeight="1" spans="1:16">
      <c r="A223" s="104">
        <v>219</v>
      </c>
      <c r="B223" s="128" t="s">
        <v>551</v>
      </c>
      <c r="C223" s="111" t="s">
        <v>536</v>
      </c>
      <c r="D223" s="111" t="s">
        <v>552</v>
      </c>
      <c r="E223" s="132" t="s">
        <v>460</v>
      </c>
      <c r="F223" s="116">
        <v>331</v>
      </c>
      <c r="G223" s="106"/>
      <c r="H223" s="106"/>
      <c r="I223" s="107">
        <v>7.546942</v>
      </c>
      <c r="J223" s="107"/>
      <c r="K223" s="107">
        <v>5</v>
      </c>
      <c r="L223" s="107">
        <f t="shared" si="9"/>
        <v>2498.037802</v>
      </c>
      <c r="M223" s="107">
        <f t="shared" si="10"/>
        <v>0</v>
      </c>
      <c r="N223" s="107">
        <f t="shared" si="11"/>
        <v>1655</v>
      </c>
      <c r="O223" s="129"/>
      <c r="P223" s="130" t="s">
        <v>77</v>
      </c>
    </row>
    <row r="224" ht="22" customHeight="1" spans="1:16">
      <c r="A224" s="104">
        <v>220</v>
      </c>
      <c r="B224" s="128" t="s">
        <v>553</v>
      </c>
      <c r="C224" s="111" t="s">
        <v>536</v>
      </c>
      <c r="D224" s="111" t="s">
        <v>554</v>
      </c>
      <c r="E224" s="132" t="s">
        <v>460</v>
      </c>
      <c r="F224" s="116">
        <v>129</v>
      </c>
      <c r="G224" s="106"/>
      <c r="H224" s="106"/>
      <c r="I224" s="107">
        <v>7.698561</v>
      </c>
      <c r="J224" s="107"/>
      <c r="K224" s="107">
        <v>5</v>
      </c>
      <c r="L224" s="107">
        <f t="shared" si="9"/>
        <v>993.114369</v>
      </c>
      <c r="M224" s="107">
        <f t="shared" si="10"/>
        <v>0</v>
      </c>
      <c r="N224" s="107">
        <f t="shared" si="11"/>
        <v>645</v>
      </c>
      <c r="O224" s="129"/>
      <c r="P224" s="130" t="s">
        <v>77</v>
      </c>
    </row>
    <row r="225" ht="22" customHeight="1" spans="1:16">
      <c r="A225" s="104">
        <v>221</v>
      </c>
      <c r="B225" s="128" t="s">
        <v>555</v>
      </c>
      <c r="C225" s="111" t="s">
        <v>556</v>
      </c>
      <c r="D225" s="111" t="s">
        <v>464</v>
      </c>
      <c r="E225" s="132" t="s">
        <v>460</v>
      </c>
      <c r="F225" s="116">
        <v>228</v>
      </c>
      <c r="G225" s="106"/>
      <c r="H225" s="106"/>
      <c r="I225" s="107">
        <v>5.855044</v>
      </c>
      <c r="J225" s="107"/>
      <c r="K225" s="107">
        <v>4</v>
      </c>
      <c r="L225" s="107">
        <f t="shared" si="9"/>
        <v>1334.950032</v>
      </c>
      <c r="M225" s="107">
        <f t="shared" si="10"/>
        <v>0</v>
      </c>
      <c r="N225" s="107">
        <f t="shared" si="11"/>
        <v>912</v>
      </c>
      <c r="O225" s="129"/>
      <c r="P225" s="130" t="s">
        <v>77</v>
      </c>
    </row>
    <row r="226" ht="22" customHeight="1" spans="1:16">
      <c r="A226" s="104">
        <v>222</v>
      </c>
      <c r="B226" s="128" t="s">
        <v>557</v>
      </c>
      <c r="C226" s="111" t="s">
        <v>556</v>
      </c>
      <c r="D226" s="111" t="s">
        <v>513</v>
      </c>
      <c r="E226" s="132" t="s">
        <v>460</v>
      </c>
      <c r="F226" s="116">
        <v>276</v>
      </c>
      <c r="G226" s="106"/>
      <c r="H226" s="106"/>
      <c r="I226" s="107">
        <v>7.315971</v>
      </c>
      <c r="J226" s="107"/>
      <c r="K226" s="107">
        <v>5</v>
      </c>
      <c r="L226" s="107">
        <f t="shared" si="9"/>
        <v>2019.207996</v>
      </c>
      <c r="M226" s="107">
        <f t="shared" si="10"/>
        <v>0</v>
      </c>
      <c r="N226" s="107">
        <f t="shared" si="11"/>
        <v>1380</v>
      </c>
      <c r="O226" s="129"/>
      <c r="P226" s="130" t="s">
        <v>77</v>
      </c>
    </row>
    <row r="227" ht="22" customHeight="1" spans="1:16">
      <c r="A227" s="104">
        <v>223</v>
      </c>
      <c r="B227" s="128" t="s">
        <v>558</v>
      </c>
      <c r="C227" s="111" t="s">
        <v>556</v>
      </c>
      <c r="D227" s="111" t="s">
        <v>559</v>
      </c>
      <c r="E227" s="132" t="s">
        <v>460</v>
      </c>
      <c r="F227" s="116">
        <v>265</v>
      </c>
      <c r="G227" s="106"/>
      <c r="H227" s="106"/>
      <c r="I227" s="107">
        <v>8.822242</v>
      </c>
      <c r="J227" s="107"/>
      <c r="K227" s="107">
        <v>6</v>
      </c>
      <c r="L227" s="107">
        <f t="shared" si="9"/>
        <v>2337.89413</v>
      </c>
      <c r="M227" s="107">
        <f t="shared" si="10"/>
        <v>0</v>
      </c>
      <c r="N227" s="107">
        <f t="shared" si="11"/>
        <v>1590</v>
      </c>
      <c r="O227" s="129"/>
      <c r="P227" s="130" t="s">
        <v>77</v>
      </c>
    </row>
    <row r="228" ht="22" customHeight="1" spans="1:16">
      <c r="A228" s="104">
        <v>224</v>
      </c>
      <c r="B228" s="128" t="s">
        <v>560</v>
      </c>
      <c r="C228" s="111" t="s">
        <v>556</v>
      </c>
      <c r="D228" s="111" t="s">
        <v>561</v>
      </c>
      <c r="E228" s="132" t="s">
        <v>460</v>
      </c>
      <c r="F228" s="116">
        <v>37</v>
      </c>
      <c r="G228" s="106"/>
      <c r="H228" s="106"/>
      <c r="I228" s="107">
        <v>6.122857</v>
      </c>
      <c r="J228" s="107"/>
      <c r="K228" s="107">
        <v>4</v>
      </c>
      <c r="L228" s="107">
        <f t="shared" si="9"/>
        <v>226.545709</v>
      </c>
      <c r="M228" s="107">
        <f t="shared" si="10"/>
        <v>0</v>
      </c>
      <c r="N228" s="107">
        <f t="shared" si="11"/>
        <v>148</v>
      </c>
      <c r="O228" s="129"/>
      <c r="P228" s="130" t="s">
        <v>77</v>
      </c>
    </row>
    <row r="229" ht="22" customHeight="1" spans="1:16">
      <c r="A229" s="104">
        <v>225</v>
      </c>
      <c r="B229" s="128" t="s">
        <v>562</v>
      </c>
      <c r="C229" s="111" t="s">
        <v>556</v>
      </c>
      <c r="D229" s="111" t="s">
        <v>538</v>
      </c>
      <c r="E229" s="132" t="s">
        <v>460</v>
      </c>
      <c r="F229" s="116">
        <v>350</v>
      </c>
      <c r="G229" s="106"/>
      <c r="H229" s="106"/>
      <c r="I229" s="107">
        <v>5.7867446</v>
      </c>
      <c r="J229" s="107"/>
      <c r="K229" s="107">
        <v>4</v>
      </c>
      <c r="L229" s="107">
        <f t="shared" si="9"/>
        <v>2025.36061</v>
      </c>
      <c r="M229" s="107">
        <f t="shared" si="10"/>
        <v>0</v>
      </c>
      <c r="N229" s="107">
        <f t="shared" si="11"/>
        <v>1400</v>
      </c>
      <c r="O229" s="129"/>
      <c r="P229" s="130" t="s">
        <v>77</v>
      </c>
    </row>
    <row r="230" ht="22" customHeight="1" spans="1:16">
      <c r="A230" s="104">
        <v>226</v>
      </c>
      <c r="B230" s="128" t="s">
        <v>563</v>
      </c>
      <c r="C230" s="111" t="s">
        <v>556</v>
      </c>
      <c r="D230" s="111" t="s">
        <v>540</v>
      </c>
      <c r="E230" s="132" t="s">
        <v>460</v>
      </c>
      <c r="F230" s="116">
        <v>294</v>
      </c>
      <c r="G230" s="106"/>
      <c r="H230" s="106"/>
      <c r="I230" s="107">
        <v>7.232368</v>
      </c>
      <c r="J230" s="107"/>
      <c r="K230" s="107">
        <v>5</v>
      </c>
      <c r="L230" s="107">
        <f t="shared" si="9"/>
        <v>2126.316192</v>
      </c>
      <c r="M230" s="107">
        <f t="shared" si="10"/>
        <v>0</v>
      </c>
      <c r="N230" s="107">
        <f t="shared" si="11"/>
        <v>1470</v>
      </c>
      <c r="O230" s="129"/>
      <c r="P230" s="130" t="s">
        <v>77</v>
      </c>
    </row>
    <row r="231" ht="22" customHeight="1" spans="1:16">
      <c r="A231" s="104">
        <v>227</v>
      </c>
      <c r="B231" s="128" t="s">
        <v>564</v>
      </c>
      <c r="C231" s="111" t="s">
        <v>556</v>
      </c>
      <c r="D231" s="111" t="s">
        <v>542</v>
      </c>
      <c r="E231" s="132" t="s">
        <v>460</v>
      </c>
      <c r="F231" s="116">
        <v>147</v>
      </c>
      <c r="G231" s="106"/>
      <c r="H231" s="106"/>
      <c r="I231" s="107">
        <v>8.703214</v>
      </c>
      <c r="J231" s="107"/>
      <c r="K231" s="107">
        <v>6</v>
      </c>
      <c r="L231" s="107">
        <f t="shared" si="9"/>
        <v>1279.372458</v>
      </c>
      <c r="M231" s="107">
        <f t="shared" si="10"/>
        <v>0</v>
      </c>
      <c r="N231" s="107">
        <f t="shared" si="11"/>
        <v>882</v>
      </c>
      <c r="O231" s="129"/>
      <c r="P231" s="130" t="s">
        <v>77</v>
      </c>
    </row>
    <row r="232" ht="22" customHeight="1" spans="1:16">
      <c r="A232" s="104">
        <v>228</v>
      </c>
      <c r="B232" s="128" t="s">
        <v>565</v>
      </c>
      <c r="C232" s="111" t="s">
        <v>556</v>
      </c>
      <c r="D232" s="111" t="s">
        <v>546</v>
      </c>
      <c r="E232" s="132" t="s">
        <v>460</v>
      </c>
      <c r="F232" s="116">
        <v>202</v>
      </c>
      <c r="G232" s="106"/>
      <c r="H232" s="106"/>
      <c r="I232" s="107">
        <v>8.843497</v>
      </c>
      <c r="J232" s="107"/>
      <c r="K232" s="107">
        <v>6</v>
      </c>
      <c r="L232" s="107">
        <f t="shared" si="9"/>
        <v>1786.386394</v>
      </c>
      <c r="M232" s="107">
        <f t="shared" si="10"/>
        <v>0</v>
      </c>
      <c r="N232" s="107">
        <f t="shared" si="11"/>
        <v>1212</v>
      </c>
      <c r="O232" s="129"/>
      <c r="P232" s="130" t="s">
        <v>77</v>
      </c>
    </row>
    <row r="233" ht="22" customHeight="1" spans="1:16">
      <c r="A233" s="104">
        <v>229</v>
      </c>
      <c r="B233" s="128" t="s">
        <v>566</v>
      </c>
      <c r="C233" s="111" t="s">
        <v>556</v>
      </c>
      <c r="D233" s="111" t="s">
        <v>548</v>
      </c>
      <c r="E233" s="132" t="s">
        <v>460</v>
      </c>
      <c r="F233" s="116">
        <v>745</v>
      </c>
      <c r="G233" s="106"/>
      <c r="H233" s="106"/>
      <c r="I233" s="107">
        <v>8.897343</v>
      </c>
      <c r="J233" s="107"/>
      <c r="K233" s="107">
        <v>6</v>
      </c>
      <c r="L233" s="107">
        <f t="shared" si="9"/>
        <v>6628.520535</v>
      </c>
      <c r="M233" s="107">
        <f t="shared" si="10"/>
        <v>0</v>
      </c>
      <c r="N233" s="107">
        <f t="shared" si="11"/>
        <v>4470</v>
      </c>
      <c r="O233" s="129"/>
      <c r="P233" s="130" t="s">
        <v>77</v>
      </c>
    </row>
    <row r="234" ht="22" customHeight="1" spans="1:16">
      <c r="A234" s="104">
        <v>230</v>
      </c>
      <c r="B234" s="128" t="s">
        <v>567</v>
      </c>
      <c r="C234" s="111" t="s">
        <v>556</v>
      </c>
      <c r="D234" s="111" t="s">
        <v>550</v>
      </c>
      <c r="E234" s="132" t="s">
        <v>460</v>
      </c>
      <c r="F234" s="116">
        <v>239</v>
      </c>
      <c r="G234" s="106"/>
      <c r="H234" s="106"/>
      <c r="I234" s="107">
        <v>8.952606</v>
      </c>
      <c r="J234" s="107"/>
      <c r="K234" s="107">
        <v>6</v>
      </c>
      <c r="L234" s="107">
        <f t="shared" si="9"/>
        <v>2139.672834</v>
      </c>
      <c r="M234" s="107">
        <f t="shared" si="10"/>
        <v>0</v>
      </c>
      <c r="N234" s="107">
        <f t="shared" si="11"/>
        <v>1434</v>
      </c>
      <c r="O234" s="129"/>
      <c r="P234" s="130" t="s">
        <v>77</v>
      </c>
    </row>
    <row r="235" ht="22" customHeight="1" spans="1:16">
      <c r="A235" s="104">
        <v>231</v>
      </c>
      <c r="B235" s="128" t="s">
        <v>568</v>
      </c>
      <c r="C235" s="111" t="s">
        <v>556</v>
      </c>
      <c r="D235" s="111" t="s">
        <v>552</v>
      </c>
      <c r="E235" s="132" t="s">
        <v>460</v>
      </c>
      <c r="F235" s="116">
        <v>129</v>
      </c>
      <c r="G235" s="106"/>
      <c r="H235" s="106"/>
      <c r="I235" s="107">
        <v>9.033375</v>
      </c>
      <c r="J235" s="107"/>
      <c r="K235" s="107">
        <v>6</v>
      </c>
      <c r="L235" s="107">
        <f t="shared" si="9"/>
        <v>1165.305375</v>
      </c>
      <c r="M235" s="107">
        <f t="shared" si="10"/>
        <v>0</v>
      </c>
      <c r="N235" s="107">
        <f t="shared" si="11"/>
        <v>774</v>
      </c>
      <c r="O235" s="129"/>
      <c r="P235" s="130" t="s">
        <v>77</v>
      </c>
    </row>
    <row r="236" ht="22" customHeight="1" spans="1:16">
      <c r="A236" s="104">
        <v>232</v>
      </c>
      <c r="B236" s="128" t="s">
        <v>569</v>
      </c>
      <c r="C236" s="111" t="s">
        <v>556</v>
      </c>
      <c r="D236" s="111" t="s">
        <v>554</v>
      </c>
      <c r="E236" s="132" t="s">
        <v>460</v>
      </c>
      <c r="F236" s="116">
        <v>261</v>
      </c>
      <c r="G236" s="106"/>
      <c r="H236" s="106"/>
      <c r="I236" s="107">
        <v>9.175075</v>
      </c>
      <c r="J236" s="107"/>
      <c r="K236" s="107">
        <v>6</v>
      </c>
      <c r="L236" s="107">
        <f t="shared" si="9"/>
        <v>2394.694575</v>
      </c>
      <c r="M236" s="107">
        <f t="shared" si="10"/>
        <v>0</v>
      </c>
      <c r="N236" s="107">
        <f t="shared" si="11"/>
        <v>1566</v>
      </c>
      <c r="O236" s="129"/>
      <c r="P236" s="130" t="s">
        <v>77</v>
      </c>
    </row>
    <row r="237" ht="22" customHeight="1" spans="1:16">
      <c r="A237" s="104">
        <v>233</v>
      </c>
      <c r="B237" s="128" t="s">
        <v>570</v>
      </c>
      <c r="C237" s="111" t="s">
        <v>571</v>
      </c>
      <c r="D237" s="111" t="s">
        <v>544</v>
      </c>
      <c r="E237" s="132" t="s">
        <v>460</v>
      </c>
      <c r="F237" s="116">
        <v>322</v>
      </c>
      <c r="G237" s="106"/>
      <c r="H237" s="106"/>
      <c r="I237" s="107">
        <v>8.928517</v>
      </c>
      <c r="J237" s="107"/>
      <c r="K237" s="107">
        <v>6</v>
      </c>
      <c r="L237" s="107">
        <f t="shared" si="9"/>
        <v>2874.982474</v>
      </c>
      <c r="M237" s="107">
        <f t="shared" si="10"/>
        <v>0</v>
      </c>
      <c r="N237" s="107">
        <f t="shared" si="11"/>
        <v>1932</v>
      </c>
      <c r="O237" s="129"/>
      <c r="P237" s="130" t="s">
        <v>77</v>
      </c>
    </row>
    <row r="238" ht="22" customHeight="1" spans="1:16">
      <c r="A238" s="104">
        <v>234</v>
      </c>
      <c r="B238" s="128" t="s">
        <v>572</v>
      </c>
      <c r="C238" s="111" t="s">
        <v>571</v>
      </c>
      <c r="D238" s="111" t="s">
        <v>546</v>
      </c>
      <c r="E238" s="132" t="s">
        <v>460</v>
      </c>
      <c r="F238" s="116">
        <v>166</v>
      </c>
      <c r="G238" s="106"/>
      <c r="H238" s="106"/>
      <c r="I238" s="107">
        <v>7.569614</v>
      </c>
      <c r="J238" s="107"/>
      <c r="K238" s="107">
        <v>5</v>
      </c>
      <c r="L238" s="107">
        <f t="shared" si="9"/>
        <v>1256.555924</v>
      </c>
      <c r="M238" s="107">
        <f t="shared" si="10"/>
        <v>0</v>
      </c>
      <c r="N238" s="107">
        <f t="shared" si="11"/>
        <v>830</v>
      </c>
      <c r="O238" s="129"/>
      <c r="P238" s="130" t="s">
        <v>77</v>
      </c>
    </row>
    <row r="239" ht="22" customHeight="1" spans="1:16">
      <c r="A239" s="104">
        <v>235</v>
      </c>
      <c r="B239" s="128" t="s">
        <v>573</v>
      </c>
      <c r="C239" s="111" t="s">
        <v>571</v>
      </c>
      <c r="D239" s="111" t="s">
        <v>554</v>
      </c>
      <c r="E239" s="132" t="s">
        <v>460</v>
      </c>
      <c r="F239" s="116">
        <v>322</v>
      </c>
      <c r="G239" s="106"/>
      <c r="H239" s="106"/>
      <c r="I239" s="107">
        <v>7.960706</v>
      </c>
      <c r="J239" s="107"/>
      <c r="K239" s="107">
        <v>5</v>
      </c>
      <c r="L239" s="107">
        <f t="shared" si="9"/>
        <v>2563.347332</v>
      </c>
      <c r="M239" s="107">
        <f t="shared" si="10"/>
        <v>0</v>
      </c>
      <c r="N239" s="107">
        <f t="shared" si="11"/>
        <v>1610</v>
      </c>
      <c r="O239" s="129"/>
      <c r="P239" s="130" t="s">
        <v>77</v>
      </c>
    </row>
    <row r="240" ht="22" customHeight="1" spans="1:16">
      <c r="A240" s="104">
        <v>236</v>
      </c>
      <c r="B240" s="128" t="s">
        <v>574</v>
      </c>
      <c r="C240" s="111" t="s">
        <v>571</v>
      </c>
      <c r="D240" s="111" t="s">
        <v>540</v>
      </c>
      <c r="E240" s="132" t="s">
        <v>460</v>
      </c>
      <c r="F240" s="116">
        <v>506</v>
      </c>
      <c r="G240" s="106"/>
      <c r="H240" s="106"/>
      <c r="I240" s="107">
        <v>5.887635</v>
      </c>
      <c r="J240" s="107"/>
      <c r="K240" s="107">
        <v>4</v>
      </c>
      <c r="L240" s="107">
        <f t="shared" si="9"/>
        <v>2979.14331</v>
      </c>
      <c r="M240" s="107">
        <f t="shared" si="10"/>
        <v>0</v>
      </c>
      <c r="N240" s="107">
        <f t="shared" si="11"/>
        <v>2024</v>
      </c>
      <c r="O240" s="129"/>
      <c r="P240" s="130" t="s">
        <v>77</v>
      </c>
    </row>
    <row r="241" ht="22" customHeight="1" spans="1:16">
      <c r="A241" s="104">
        <v>237</v>
      </c>
      <c r="B241" s="128" t="s">
        <v>575</v>
      </c>
      <c r="C241" s="111" t="s">
        <v>571</v>
      </c>
      <c r="D241" s="111" t="s">
        <v>542</v>
      </c>
      <c r="E241" s="132" t="s">
        <v>460</v>
      </c>
      <c r="F241" s="116">
        <v>506</v>
      </c>
      <c r="G241" s="106"/>
      <c r="H241" s="106"/>
      <c r="I241" s="107">
        <v>5.949983</v>
      </c>
      <c r="J241" s="107"/>
      <c r="K241" s="107">
        <v>4</v>
      </c>
      <c r="L241" s="107">
        <f t="shared" si="9"/>
        <v>3010.691398</v>
      </c>
      <c r="M241" s="107">
        <f t="shared" si="10"/>
        <v>0</v>
      </c>
      <c r="N241" s="107">
        <f t="shared" si="11"/>
        <v>2024</v>
      </c>
      <c r="O241" s="129"/>
      <c r="P241" s="130" t="s">
        <v>77</v>
      </c>
    </row>
    <row r="242" ht="22" customHeight="1" spans="1:16">
      <c r="A242" s="104">
        <v>238</v>
      </c>
      <c r="B242" s="128" t="s">
        <v>576</v>
      </c>
      <c r="C242" s="111" t="s">
        <v>577</v>
      </c>
      <c r="D242" s="111" t="s">
        <v>578</v>
      </c>
      <c r="E242" s="132" t="s">
        <v>460</v>
      </c>
      <c r="F242" s="116">
        <v>276</v>
      </c>
      <c r="G242" s="106"/>
      <c r="H242" s="106"/>
      <c r="I242" s="107">
        <v>5.7704491</v>
      </c>
      <c r="J242" s="107"/>
      <c r="K242" s="107">
        <v>4</v>
      </c>
      <c r="L242" s="107">
        <f t="shared" si="9"/>
        <v>1592.6439516</v>
      </c>
      <c r="M242" s="107">
        <f t="shared" si="10"/>
        <v>0</v>
      </c>
      <c r="N242" s="107">
        <f t="shared" si="11"/>
        <v>1104</v>
      </c>
      <c r="O242" s="129"/>
      <c r="P242" s="130" t="s">
        <v>77</v>
      </c>
    </row>
    <row r="243" ht="22" customHeight="1" spans="1:16">
      <c r="A243" s="104">
        <v>239</v>
      </c>
      <c r="B243" s="128" t="s">
        <v>579</v>
      </c>
      <c r="C243" s="111" t="s">
        <v>580</v>
      </c>
      <c r="D243" s="111"/>
      <c r="E243" s="132" t="s">
        <v>460</v>
      </c>
      <c r="F243" s="116">
        <v>883</v>
      </c>
      <c r="G243" s="106"/>
      <c r="H243" s="106"/>
      <c r="I243" s="107">
        <v>5.7599633</v>
      </c>
      <c r="J243" s="107"/>
      <c r="K243" s="107">
        <v>4</v>
      </c>
      <c r="L243" s="107">
        <f t="shared" si="9"/>
        <v>5086.0475939</v>
      </c>
      <c r="M243" s="107">
        <f t="shared" si="10"/>
        <v>0</v>
      </c>
      <c r="N243" s="107">
        <f t="shared" si="11"/>
        <v>3532</v>
      </c>
      <c r="O243" s="129"/>
      <c r="P243" s="130" t="s">
        <v>77</v>
      </c>
    </row>
    <row r="244" ht="60" customHeight="1" spans="1:16">
      <c r="A244" s="104">
        <v>240</v>
      </c>
      <c r="B244" s="128" t="s">
        <v>581</v>
      </c>
      <c r="C244" s="111" t="s">
        <v>582</v>
      </c>
      <c r="D244" s="111" t="s">
        <v>345</v>
      </c>
      <c r="E244" s="116" t="s">
        <v>346</v>
      </c>
      <c r="F244" s="149">
        <v>17</v>
      </c>
      <c r="G244" s="106"/>
      <c r="H244" s="106"/>
      <c r="I244" s="107">
        <v>13053.6663716814</v>
      </c>
      <c r="J244" s="107">
        <v>6900</v>
      </c>
      <c r="K244" s="107">
        <v>4000</v>
      </c>
      <c r="L244" s="107">
        <f t="shared" si="9"/>
        <v>221912.328318584</v>
      </c>
      <c r="M244" s="107">
        <f t="shared" si="10"/>
        <v>117300</v>
      </c>
      <c r="N244" s="107">
        <f t="shared" si="11"/>
        <v>68000</v>
      </c>
      <c r="O244" s="129"/>
      <c r="P244" s="112" t="s">
        <v>583</v>
      </c>
    </row>
    <row r="245" ht="54" customHeight="1" spans="1:16">
      <c r="A245" s="104">
        <v>241</v>
      </c>
      <c r="B245" s="128" t="s">
        <v>584</v>
      </c>
      <c r="C245" s="111" t="s">
        <v>585</v>
      </c>
      <c r="D245" s="111" t="s">
        <v>345</v>
      </c>
      <c r="E245" s="116" t="s">
        <v>346</v>
      </c>
      <c r="F245" s="149">
        <v>9</v>
      </c>
      <c r="G245" s="106"/>
      <c r="H245" s="106"/>
      <c r="I245" s="107">
        <v>7857.34699115044</v>
      </c>
      <c r="J245" s="107">
        <v>3910</v>
      </c>
      <c r="K245" s="107">
        <v>2150</v>
      </c>
      <c r="L245" s="107">
        <f t="shared" si="9"/>
        <v>70716.122920354</v>
      </c>
      <c r="M245" s="107">
        <f t="shared" si="10"/>
        <v>35190</v>
      </c>
      <c r="N245" s="107">
        <f t="shared" si="11"/>
        <v>19350</v>
      </c>
      <c r="O245" s="129"/>
      <c r="P245" s="112" t="s">
        <v>586</v>
      </c>
    </row>
    <row r="246" ht="63" customHeight="1" spans="1:16">
      <c r="A246" s="104">
        <v>242</v>
      </c>
      <c r="B246" s="128" t="s">
        <v>587</v>
      </c>
      <c r="C246" s="111" t="s">
        <v>369</v>
      </c>
      <c r="D246" s="111" t="s">
        <v>345</v>
      </c>
      <c r="E246" s="116" t="s">
        <v>346</v>
      </c>
      <c r="F246" s="116">
        <v>8.7</v>
      </c>
      <c r="G246" s="106"/>
      <c r="H246" s="106"/>
      <c r="I246" s="107">
        <v>8924.38705752212</v>
      </c>
      <c r="J246" s="107">
        <v>4700</v>
      </c>
      <c r="K246" s="107">
        <v>2600</v>
      </c>
      <c r="L246" s="107">
        <f t="shared" si="9"/>
        <v>77642.1674004424</v>
      </c>
      <c r="M246" s="107">
        <f t="shared" si="10"/>
        <v>40890</v>
      </c>
      <c r="N246" s="107">
        <f t="shared" si="11"/>
        <v>22620</v>
      </c>
      <c r="O246" s="129"/>
      <c r="P246" s="112" t="s">
        <v>588</v>
      </c>
    </row>
    <row r="247" ht="22" customHeight="1" spans="1:16">
      <c r="A247" s="104">
        <v>243</v>
      </c>
      <c r="B247" s="128" t="s">
        <v>589</v>
      </c>
      <c r="C247" s="111" t="s">
        <v>590</v>
      </c>
      <c r="D247" s="111" t="s">
        <v>591</v>
      </c>
      <c r="E247" s="132" t="s">
        <v>460</v>
      </c>
      <c r="F247" s="116">
        <v>166</v>
      </c>
      <c r="G247" s="106"/>
      <c r="H247" s="106"/>
      <c r="I247" s="107">
        <v>21.95805</v>
      </c>
      <c r="J247" s="107">
        <v>0</v>
      </c>
      <c r="K247" s="107">
        <v>15</v>
      </c>
      <c r="L247" s="107">
        <f t="shared" si="9"/>
        <v>3645.0363</v>
      </c>
      <c r="M247" s="107">
        <f t="shared" si="10"/>
        <v>0</v>
      </c>
      <c r="N247" s="107">
        <f t="shared" si="11"/>
        <v>2490</v>
      </c>
      <c r="O247" s="129"/>
      <c r="P247" s="130" t="s">
        <v>77</v>
      </c>
    </row>
    <row r="248" ht="31" customHeight="1" spans="1:16">
      <c r="A248" s="104">
        <v>244</v>
      </c>
      <c r="B248" s="128" t="s">
        <v>592</v>
      </c>
      <c r="C248" s="111" t="s">
        <v>593</v>
      </c>
      <c r="D248" s="111" t="s">
        <v>594</v>
      </c>
      <c r="E248" s="132" t="s">
        <v>460</v>
      </c>
      <c r="F248" s="116">
        <v>175</v>
      </c>
      <c r="G248" s="106"/>
      <c r="H248" s="106"/>
      <c r="I248" s="107">
        <v>18.0373778761062</v>
      </c>
      <c r="J248" s="107">
        <v>9</v>
      </c>
      <c r="K248" s="107">
        <v>6</v>
      </c>
      <c r="L248" s="107">
        <f t="shared" si="9"/>
        <v>3156.54112831858</v>
      </c>
      <c r="M248" s="107">
        <f t="shared" si="10"/>
        <v>1575</v>
      </c>
      <c r="N248" s="107">
        <f t="shared" si="11"/>
        <v>1050</v>
      </c>
      <c r="O248" s="129"/>
      <c r="P248" s="112" t="s">
        <v>595</v>
      </c>
    </row>
    <row r="249" ht="22" customHeight="1" spans="1:16">
      <c r="A249" s="104">
        <v>245</v>
      </c>
      <c r="B249" s="128" t="s">
        <v>596</v>
      </c>
      <c r="C249" s="111" t="s">
        <v>593</v>
      </c>
      <c r="D249" s="111" t="s">
        <v>333</v>
      </c>
      <c r="E249" s="132" t="s">
        <v>460</v>
      </c>
      <c r="F249" s="116">
        <v>147</v>
      </c>
      <c r="G249" s="106"/>
      <c r="H249" s="106"/>
      <c r="I249" s="107">
        <v>18.0373778761062</v>
      </c>
      <c r="J249" s="107">
        <v>9</v>
      </c>
      <c r="K249" s="107">
        <v>6</v>
      </c>
      <c r="L249" s="107">
        <f t="shared" si="9"/>
        <v>2651.49454778761</v>
      </c>
      <c r="M249" s="107">
        <f t="shared" si="10"/>
        <v>1323</v>
      </c>
      <c r="N249" s="107">
        <f t="shared" si="11"/>
        <v>882</v>
      </c>
      <c r="O249" s="129"/>
      <c r="P249" s="130" t="s">
        <v>77</v>
      </c>
    </row>
    <row r="250" ht="22" customHeight="1" spans="1:16">
      <c r="A250" s="104">
        <v>246</v>
      </c>
      <c r="B250" s="128" t="s">
        <v>597</v>
      </c>
      <c r="C250" s="111" t="s">
        <v>593</v>
      </c>
      <c r="D250" s="111" t="s">
        <v>598</v>
      </c>
      <c r="E250" s="132" t="s">
        <v>460</v>
      </c>
      <c r="F250" s="116">
        <v>18</v>
      </c>
      <c r="G250" s="106"/>
      <c r="H250" s="106"/>
      <c r="I250" s="107">
        <v>24.895696460177</v>
      </c>
      <c r="J250" s="107">
        <v>15</v>
      </c>
      <c r="K250" s="107">
        <v>6</v>
      </c>
      <c r="L250" s="107">
        <f t="shared" si="9"/>
        <v>448.122536283186</v>
      </c>
      <c r="M250" s="107">
        <f t="shared" si="10"/>
        <v>270</v>
      </c>
      <c r="N250" s="107">
        <f t="shared" si="11"/>
        <v>108</v>
      </c>
      <c r="O250" s="129"/>
      <c r="P250" s="130" t="s">
        <v>77</v>
      </c>
    </row>
    <row r="251" ht="22" customHeight="1" spans="1:16">
      <c r="A251" s="104">
        <v>247</v>
      </c>
      <c r="B251" s="128" t="s">
        <v>599</v>
      </c>
      <c r="C251" s="111" t="s">
        <v>593</v>
      </c>
      <c r="D251" s="111" t="s">
        <v>327</v>
      </c>
      <c r="E251" s="132" t="s">
        <v>460</v>
      </c>
      <c r="F251" s="116">
        <v>87</v>
      </c>
      <c r="G251" s="106"/>
      <c r="H251" s="106"/>
      <c r="I251" s="107">
        <v>35.7775619469027</v>
      </c>
      <c r="J251" s="107">
        <v>20</v>
      </c>
      <c r="K251" s="107">
        <v>10</v>
      </c>
      <c r="L251" s="107">
        <f t="shared" si="9"/>
        <v>3112.64788938054</v>
      </c>
      <c r="M251" s="107">
        <f t="shared" si="10"/>
        <v>1740</v>
      </c>
      <c r="N251" s="107">
        <f t="shared" si="11"/>
        <v>870</v>
      </c>
      <c r="O251" s="129"/>
      <c r="P251" s="130" t="s">
        <v>77</v>
      </c>
    </row>
    <row r="252" ht="22" customHeight="1" spans="1:16">
      <c r="A252" s="104">
        <v>248</v>
      </c>
      <c r="B252" s="128" t="s">
        <v>600</v>
      </c>
      <c r="C252" s="111" t="s">
        <v>593</v>
      </c>
      <c r="D252" s="111" t="s">
        <v>330</v>
      </c>
      <c r="E252" s="132" t="s">
        <v>460</v>
      </c>
      <c r="F252" s="116">
        <v>28</v>
      </c>
      <c r="G252" s="106"/>
      <c r="H252" s="106"/>
      <c r="I252" s="107">
        <v>65.8398584070796</v>
      </c>
      <c r="J252" s="107">
        <v>35</v>
      </c>
      <c r="K252" s="107">
        <v>20</v>
      </c>
      <c r="L252" s="107">
        <f t="shared" si="9"/>
        <v>1843.51603539823</v>
      </c>
      <c r="M252" s="107">
        <f t="shared" si="10"/>
        <v>980</v>
      </c>
      <c r="N252" s="107">
        <f t="shared" si="11"/>
        <v>560</v>
      </c>
      <c r="O252" s="129"/>
      <c r="P252" s="130" t="s">
        <v>77</v>
      </c>
    </row>
    <row r="253" ht="22" customHeight="1" spans="1:16">
      <c r="A253" s="104">
        <v>249</v>
      </c>
      <c r="B253" s="128" t="s">
        <v>601</v>
      </c>
      <c r="C253" s="111" t="s">
        <v>593</v>
      </c>
      <c r="D253" s="111" t="s">
        <v>325</v>
      </c>
      <c r="E253" s="132" t="s">
        <v>460</v>
      </c>
      <c r="F253" s="116">
        <v>28</v>
      </c>
      <c r="G253" s="106"/>
      <c r="H253" s="106"/>
      <c r="I253" s="107">
        <v>71.5551238938053</v>
      </c>
      <c r="J253" s="107">
        <v>40</v>
      </c>
      <c r="K253" s="107">
        <v>20</v>
      </c>
      <c r="L253" s="107">
        <f t="shared" si="9"/>
        <v>2003.54346902655</v>
      </c>
      <c r="M253" s="107">
        <f t="shared" si="10"/>
        <v>1120</v>
      </c>
      <c r="N253" s="107">
        <f t="shared" si="11"/>
        <v>560</v>
      </c>
      <c r="O253" s="129"/>
      <c r="P253" s="112" t="s">
        <v>77</v>
      </c>
    </row>
    <row r="254" ht="47" customHeight="1" spans="1:16">
      <c r="A254" s="104">
        <v>250</v>
      </c>
      <c r="B254" s="128" t="s">
        <v>602</v>
      </c>
      <c r="C254" s="115" t="s">
        <v>603</v>
      </c>
      <c r="D254" s="111" t="s">
        <v>604</v>
      </c>
      <c r="E254" s="116" t="s">
        <v>296</v>
      </c>
      <c r="F254" s="116">
        <v>16</v>
      </c>
      <c r="G254" s="106"/>
      <c r="H254" s="106"/>
      <c r="I254" s="107">
        <v>449.219867256637</v>
      </c>
      <c r="J254" s="107">
        <v>280</v>
      </c>
      <c r="K254" s="107">
        <v>100</v>
      </c>
      <c r="L254" s="107">
        <f t="shared" si="9"/>
        <v>7187.51787610619</v>
      </c>
      <c r="M254" s="107">
        <f t="shared" si="10"/>
        <v>4480</v>
      </c>
      <c r="N254" s="107">
        <f t="shared" si="11"/>
        <v>1600</v>
      </c>
      <c r="O254" s="129"/>
      <c r="P254" s="112" t="s">
        <v>605</v>
      </c>
    </row>
    <row r="255" ht="22" customHeight="1" spans="1:16">
      <c r="A255" s="104">
        <v>251</v>
      </c>
      <c r="B255" s="128" t="s">
        <v>606</v>
      </c>
      <c r="C255" s="115" t="s">
        <v>607</v>
      </c>
      <c r="D255" s="111" t="s">
        <v>608</v>
      </c>
      <c r="E255" s="116" t="s">
        <v>296</v>
      </c>
      <c r="F255" s="116">
        <v>147</v>
      </c>
      <c r="G255" s="106"/>
      <c r="H255" s="106"/>
      <c r="I255" s="107">
        <v>237.755044247788</v>
      </c>
      <c r="J255" s="107">
        <v>95</v>
      </c>
      <c r="K255" s="107">
        <v>100</v>
      </c>
      <c r="L255" s="107">
        <f t="shared" si="9"/>
        <v>34949.9915044248</v>
      </c>
      <c r="M255" s="107">
        <f t="shared" si="10"/>
        <v>13965</v>
      </c>
      <c r="N255" s="107">
        <f t="shared" si="11"/>
        <v>14700</v>
      </c>
      <c r="O255" s="129"/>
      <c r="P255" s="112" t="s">
        <v>77</v>
      </c>
    </row>
    <row r="256" ht="22" customHeight="1" spans="1:16">
      <c r="A256" s="104">
        <v>252</v>
      </c>
      <c r="B256" s="128" t="s">
        <v>609</v>
      </c>
      <c r="C256" s="115" t="s">
        <v>610</v>
      </c>
      <c r="D256" s="111" t="s">
        <v>611</v>
      </c>
      <c r="E256" s="116" t="s">
        <v>296</v>
      </c>
      <c r="F256" s="116">
        <v>44</v>
      </c>
      <c r="G256" s="106"/>
      <c r="H256" s="106"/>
      <c r="I256" s="107">
        <v>312.053495575221</v>
      </c>
      <c r="J256" s="107">
        <v>160</v>
      </c>
      <c r="K256" s="107">
        <v>100</v>
      </c>
      <c r="L256" s="107">
        <f t="shared" si="9"/>
        <v>13730.3538053097</v>
      </c>
      <c r="M256" s="107">
        <f t="shared" si="10"/>
        <v>7040</v>
      </c>
      <c r="N256" s="107">
        <f t="shared" si="11"/>
        <v>4400</v>
      </c>
      <c r="O256" s="129"/>
      <c r="P256" s="112" t="s">
        <v>77</v>
      </c>
    </row>
    <row r="257" ht="22" customHeight="1" spans="1:16">
      <c r="A257" s="104">
        <v>253</v>
      </c>
      <c r="B257" s="104">
        <v>8</v>
      </c>
      <c r="C257" s="121" t="s">
        <v>612</v>
      </c>
      <c r="D257" s="111"/>
      <c r="E257" s="104"/>
      <c r="F257" s="104"/>
      <c r="G257" s="106"/>
      <c r="H257" s="106"/>
      <c r="I257" s="107">
        <v>0</v>
      </c>
      <c r="J257" s="107">
        <v>0</v>
      </c>
      <c r="K257" s="107">
        <v>0</v>
      </c>
      <c r="L257" s="107">
        <f>SUM(L258:L266)</f>
        <v>142603.455282301</v>
      </c>
      <c r="M257" s="107">
        <f>SUM(M258:M266)</f>
        <v>30585</v>
      </c>
      <c r="N257" s="107">
        <f>SUM(N258:N266)</f>
        <v>76950</v>
      </c>
      <c r="O257" s="129"/>
      <c r="P257" s="130"/>
    </row>
    <row r="258" ht="22" customHeight="1" spans="1:16">
      <c r="A258" s="104">
        <v>254</v>
      </c>
      <c r="B258" s="104" t="s">
        <v>613</v>
      </c>
      <c r="C258" s="121" t="s">
        <v>319</v>
      </c>
      <c r="D258" s="111"/>
      <c r="E258" s="104"/>
      <c r="F258" s="104"/>
      <c r="G258" s="106"/>
      <c r="H258" s="106"/>
      <c r="I258" s="107">
        <v>0</v>
      </c>
      <c r="J258" s="107">
        <v>0</v>
      </c>
      <c r="K258" s="107">
        <v>0</v>
      </c>
      <c r="L258" s="107">
        <f t="shared" si="9"/>
        <v>0</v>
      </c>
      <c r="M258" s="107">
        <f t="shared" si="10"/>
        <v>0</v>
      </c>
      <c r="N258" s="107">
        <f t="shared" si="11"/>
        <v>0</v>
      </c>
      <c r="O258" s="129"/>
      <c r="P258" s="130"/>
    </row>
    <row r="259" ht="78" customHeight="1" spans="1:16">
      <c r="A259" s="104">
        <v>255</v>
      </c>
      <c r="B259" s="104" t="s">
        <v>614</v>
      </c>
      <c r="C259" s="111" t="s">
        <v>615</v>
      </c>
      <c r="D259" s="115" t="s">
        <v>616</v>
      </c>
      <c r="E259" s="116"/>
      <c r="F259" s="104">
        <v>1</v>
      </c>
      <c r="G259" s="106"/>
      <c r="H259" s="106"/>
      <c r="I259" s="107">
        <v>12987.5</v>
      </c>
      <c r="J259" s="107">
        <v>0</v>
      </c>
      <c r="K259" s="107">
        <v>10000</v>
      </c>
      <c r="L259" s="107">
        <f t="shared" si="9"/>
        <v>12987.5</v>
      </c>
      <c r="M259" s="107">
        <f t="shared" si="10"/>
        <v>0</v>
      </c>
      <c r="N259" s="107">
        <f t="shared" si="11"/>
        <v>10000</v>
      </c>
      <c r="O259" s="129"/>
      <c r="P259" s="112" t="s">
        <v>434</v>
      </c>
    </row>
    <row r="260" ht="22" customHeight="1" spans="1:16">
      <c r="A260" s="104">
        <v>256</v>
      </c>
      <c r="B260" s="104">
        <v>8.2</v>
      </c>
      <c r="C260" s="121" t="s">
        <v>311</v>
      </c>
      <c r="D260" s="111"/>
      <c r="E260" s="104"/>
      <c r="F260" s="104"/>
      <c r="G260" s="106"/>
      <c r="H260" s="106"/>
      <c r="I260" s="107">
        <v>0</v>
      </c>
      <c r="J260" s="107">
        <v>0</v>
      </c>
      <c r="K260" s="107">
        <v>0</v>
      </c>
      <c r="L260" s="107">
        <f t="shared" si="9"/>
        <v>0</v>
      </c>
      <c r="M260" s="107">
        <f t="shared" si="10"/>
        <v>0</v>
      </c>
      <c r="N260" s="107">
        <f t="shared" si="11"/>
        <v>0</v>
      </c>
      <c r="O260" s="129"/>
      <c r="P260" s="130"/>
    </row>
    <row r="261" ht="90" customHeight="1" spans="1:16">
      <c r="A261" s="104">
        <v>257</v>
      </c>
      <c r="B261" s="104" t="s">
        <v>617</v>
      </c>
      <c r="C261" s="111" t="s">
        <v>618</v>
      </c>
      <c r="D261" s="111" t="s">
        <v>619</v>
      </c>
      <c r="E261" s="132" t="s">
        <v>460</v>
      </c>
      <c r="F261" s="104">
        <v>1380</v>
      </c>
      <c r="G261" s="106"/>
      <c r="H261" s="106"/>
      <c r="I261" s="107">
        <v>35.83375</v>
      </c>
      <c r="J261" s="107"/>
      <c r="K261" s="107">
        <v>25</v>
      </c>
      <c r="L261" s="107">
        <f t="shared" si="9"/>
        <v>49450.575</v>
      </c>
      <c r="M261" s="107">
        <f t="shared" si="10"/>
        <v>0</v>
      </c>
      <c r="N261" s="107">
        <f t="shared" si="11"/>
        <v>34500</v>
      </c>
      <c r="O261" s="129"/>
      <c r="P261" s="139" t="s">
        <v>620</v>
      </c>
    </row>
    <row r="262" ht="27" customHeight="1" spans="1:16">
      <c r="A262" s="104">
        <v>258</v>
      </c>
      <c r="B262" s="104" t="s">
        <v>621</v>
      </c>
      <c r="C262" s="111" t="s">
        <v>622</v>
      </c>
      <c r="D262" s="111" t="s">
        <v>623</v>
      </c>
      <c r="E262" s="132" t="s">
        <v>460</v>
      </c>
      <c r="F262" s="105">
        <v>900</v>
      </c>
      <c r="G262" s="106"/>
      <c r="H262" s="106"/>
      <c r="I262" s="107">
        <v>6.066177</v>
      </c>
      <c r="J262" s="107"/>
      <c r="K262" s="107">
        <v>4</v>
      </c>
      <c r="L262" s="107">
        <f t="shared" si="9"/>
        <v>5459.5593</v>
      </c>
      <c r="M262" s="107">
        <f t="shared" si="10"/>
        <v>0</v>
      </c>
      <c r="N262" s="107">
        <f t="shared" si="11"/>
        <v>3600</v>
      </c>
      <c r="O262" s="129"/>
      <c r="P262" s="130" t="s">
        <v>77</v>
      </c>
    </row>
    <row r="263" ht="24" customHeight="1" spans="1:16">
      <c r="A263" s="104">
        <v>259</v>
      </c>
      <c r="B263" s="104" t="s">
        <v>624</v>
      </c>
      <c r="C263" s="111" t="s">
        <v>622</v>
      </c>
      <c r="D263" s="111" t="s">
        <v>625</v>
      </c>
      <c r="E263" s="132" t="s">
        <v>460</v>
      </c>
      <c r="F263" s="105">
        <v>1800</v>
      </c>
      <c r="G263" s="106"/>
      <c r="H263" s="106"/>
      <c r="I263" s="107">
        <v>7.535606</v>
      </c>
      <c r="J263" s="107"/>
      <c r="K263" s="107">
        <v>5</v>
      </c>
      <c r="L263" s="107">
        <f t="shared" ref="L263:L326" si="12">F263*I263</f>
        <v>13564.0908</v>
      </c>
      <c r="M263" s="107">
        <f t="shared" ref="M263:M326" si="13">F263*J263</f>
        <v>0</v>
      </c>
      <c r="N263" s="107">
        <f t="shared" ref="N263:N326" si="14">F263*K263</f>
        <v>9000</v>
      </c>
      <c r="O263" s="129"/>
      <c r="P263" s="130" t="s">
        <v>77</v>
      </c>
    </row>
    <row r="264" ht="31" customHeight="1" spans="1:16">
      <c r="A264" s="104">
        <v>260</v>
      </c>
      <c r="B264" s="104" t="s">
        <v>626</v>
      </c>
      <c r="C264" s="111" t="s">
        <v>622</v>
      </c>
      <c r="D264" s="111" t="s">
        <v>627</v>
      </c>
      <c r="E264" s="132" t="s">
        <v>460</v>
      </c>
      <c r="F264" s="105">
        <v>450</v>
      </c>
      <c r="G264" s="106"/>
      <c r="H264" s="106"/>
      <c r="I264" s="107">
        <v>7.663136</v>
      </c>
      <c r="J264" s="107"/>
      <c r="K264" s="107">
        <v>5</v>
      </c>
      <c r="L264" s="107">
        <f t="shared" si="12"/>
        <v>3448.4112</v>
      </c>
      <c r="M264" s="107">
        <f t="shared" si="13"/>
        <v>0</v>
      </c>
      <c r="N264" s="107">
        <f t="shared" si="14"/>
        <v>2250</v>
      </c>
      <c r="O264" s="129"/>
      <c r="P264" s="130" t="s">
        <v>77</v>
      </c>
    </row>
    <row r="265" ht="54" customHeight="1" spans="1:16">
      <c r="A265" s="104">
        <v>261</v>
      </c>
      <c r="B265" s="104" t="s">
        <v>628</v>
      </c>
      <c r="C265" s="111" t="s">
        <v>629</v>
      </c>
      <c r="D265" s="111" t="s">
        <v>619</v>
      </c>
      <c r="E265" s="116" t="s">
        <v>300</v>
      </c>
      <c r="F265" s="104">
        <v>6</v>
      </c>
      <c r="G265" s="106"/>
      <c r="H265" s="106"/>
      <c r="I265" s="107">
        <v>1674.57278761062</v>
      </c>
      <c r="J265" s="107">
        <v>900</v>
      </c>
      <c r="K265" s="107">
        <v>500</v>
      </c>
      <c r="L265" s="107">
        <f t="shared" si="12"/>
        <v>10047.4367256637</v>
      </c>
      <c r="M265" s="107">
        <f t="shared" si="13"/>
        <v>5400</v>
      </c>
      <c r="N265" s="107">
        <f t="shared" si="14"/>
        <v>3000</v>
      </c>
      <c r="O265" s="129"/>
      <c r="P265" s="150" t="s">
        <v>630</v>
      </c>
    </row>
    <row r="266" ht="55" customHeight="1" spans="1:16">
      <c r="A266" s="104">
        <v>262</v>
      </c>
      <c r="B266" s="104" t="s">
        <v>631</v>
      </c>
      <c r="C266" s="115" t="s">
        <v>632</v>
      </c>
      <c r="D266" s="111" t="s">
        <v>345</v>
      </c>
      <c r="E266" s="116" t="s">
        <v>346</v>
      </c>
      <c r="F266" s="151">
        <v>3.65</v>
      </c>
      <c r="G266" s="106"/>
      <c r="H266" s="106"/>
      <c r="I266" s="107">
        <v>13053.6663716814</v>
      </c>
      <c r="J266" s="107">
        <v>6900</v>
      </c>
      <c r="K266" s="107">
        <v>4000</v>
      </c>
      <c r="L266" s="107">
        <f t="shared" si="12"/>
        <v>47645.8822566371</v>
      </c>
      <c r="M266" s="107">
        <f t="shared" si="13"/>
        <v>25185</v>
      </c>
      <c r="N266" s="107">
        <f t="shared" si="14"/>
        <v>14600</v>
      </c>
      <c r="O266" s="129"/>
      <c r="P266" s="112" t="s">
        <v>583</v>
      </c>
    </row>
    <row r="267" ht="22" customHeight="1" spans="1:16">
      <c r="A267" s="104">
        <v>263</v>
      </c>
      <c r="B267" s="104">
        <v>9</v>
      </c>
      <c r="C267" s="111" t="s">
        <v>633</v>
      </c>
      <c r="D267" s="111"/>
      <c r="E267" s="104"/>
      <c r="F267" s="104"/>
      <c r="G267" s="106"/>
      <c r="H267" s="106"/>
      <c r="I267" s="107">
        <v>0</v>
      </c>
      <c r="J267" s="107">
        <v>0</v>
      </c>
      <c r="K267" s="107">
        <v>0</v>
      </c>
      <c r="L267" s="107">
        <f>SUM(L268:L299)</f>
        <v>93942.6294325221</v>
      </c>
      <c r="M267" s="107">
        <f>SUM(M268:M299)</f>
        <v>11088</v>
      </c>
      <c r="N267" s="107">
        <f>SUM(N268:N299)</f>
        <v>59565</v>
      </c>
      <c r="O267" s="129"/>
      <c r="P267" s="130"/>
    </row>
    <row r="268" ht="22" customHeight="1" spans="1:16">
      <c r="A268" s="104">
        <v>264</v>
      </c>
      <c r="B268" s="104" t="s">
        <v>634</v>
      </c>
      <c r="C268" s="111" t="s">
        <v>319</v>
      </c>
      <c r="D268" s="111"/>
      <c r="E268" s="104"/>
      <c r="F268" s="104"/>
      <c r="G268" s="106"/>
      <c r="H268" s="106"/>
      <c r="I268" s="107">
        <v>0</v>
      </c>
      <c r="J268" s="107">
        <v>0</v>
      </c>
      <c r="K268" s="107">
        <v>0</v>
      </c>
      <c r="L268" s="107">
        <f t="shared" si="12"/>
        <v>0</v>
      </c>
      <c r="M268" s="107">
        <f t="shared" si="13"/>
        <v>0</v>
      </c>
      <c r="N268" s="107">
        <f t="shared" si="14"/>
        <v>0</v>
      </c>
      <c r="O268" s="129"/>
      <c r="P268" s="130"/>
    </row>
    <row r="269" ht="122" customHeight="1" spans="1:16">
      <c r="A269" s="104">
        <v>265</v>
      </c>
      <c r="B269" s="104" t="s">
        <v>635</v>
      </c>
      <c r="C269" s="111" t="s">
        <v>636</v>
      </c>
      <c r="D269" s="111"/>
      <c r="E269" s="104" t="s">
        <v>296</v>
      </c>
      <c r="F269" s="104">
        <v>2</v>
      </c>
      <c r="G269" s="106"/>
      <c r="H269" s="106"/>
      <c r="I269" s="107">
        <v>2324.97</v>
      </c>
      <c r="J269" s="107">
        <v>0</v>
      </c>
      <c r="K269" s="107">
        <v>1800</v>
      </c>
      <c r="L269" s="107">
        <f t="shared" si="12"/>
        <v>4649.94</v>
      </c>
      <c r="M269" s="107">
        <f t="shared" si="13"/>
        <v>0</v>
      </c>
      <c r="N269" s="107">
        <f t="shared" si="14"/>
        <v>3600</v>
      </c>
      <c r="O269" s="129"/>
      <c r="P269" s="112" t="s">
        <v>637</v>
      </c>
    </row>
    <row r="270" ht="22" customHeight="1" spans="1:16">
      <c r="A270" s="104">
        <v>266</v>
      </c>
      <c r="B270" s="104" t="s">
        <v>638</v>
      </c>
      <c r="C270" s="111" t="s">
        <v>639</v>
      </c>
      <c r="D270" s="111"/>
      <c r="E270" s="104" t="s">
        <v>296</v>
      </c>
      <c r="F270" s="104">
        <v>4</v>
      </c>
      <c r="G270" s="106"/>
      <c r="H270" s="106"/>
      <c r="I270" s="107">
        <v>1549.98</v>
      </c>
      <c r="J270" s="107">
        <v>0</v>
      </c>
      <c r="K270" s="107">
        <v>1200</v>
      </c>
      <c r="L270" s="107">
        <f t="shared" si="12"/>
        <v>6199.92</v>
      </c>
      <c r="M270" s="107">
        <f t="shared" si="13"/>
        <v>0</v>
      </c>
      <c r="N270" s="107">
        <f t="shared" si="14"/>
        <v>4800</v>
      </c>
      <c r="O270" s="129"/>
      <c r="P270" s="130" t="s">
        <v>77</v>
      </c>
    </row>
    <row r="271" ht="22" customHeight="1" spans="1:16">
      <c r="A271" s="104">
        <v>267</v>
      </c>
      <c r="B271" s="104" t="s">
        <v>640</v>
      </c>
      <c r="C271" s="111" t="s">
        <v>641</v>
      </c>
      <c r="D271" s="111"/>
      <c r="E271" s="104" t="s">
        <v>296</v>
      </c>
      <c r="F271" s="104">
        <v>2</v>
      </c>
      <c r="G271" s="106"/>
      <c r="H271" s="106"/>
      <c r="I271" s="107">
        <v>1291.65</v>
      </c>
      <c r="J271" s="107">
        <v>0</v>
      </c>
      <c r="K271" s="107">
        <v>1000</v>
      </c>
      <c r="L271" s="107">
        <f t="shared" si="12"/>
        <v>2583.3</v>
      </c>
      <c r="M271" s="107">
        <f t="shared" si="13"/>
        <v>0</v>
      </c>
      <c r="N271" s="107">
        <f t="shared" si="14"/>
        <v>2000</v>
      </c>
      <c r="O271" s="129"/>
      <c r="P271" s="130" t="s">
        <v>77</v>
      </c>
    </row>
    <row r="272" ht="22" customHeight="1" spans="1:16">
      <c r="A272" s="104">
        <v>268</v>
      </c>
      <c r="B272" s="104" t="s">
        <v>642</v>
      </c>
      <c r="C272" s="111" t="s">
        <v>643</v>
      </c>
      <c r="D272" s="111"/>
      <c r="E272" s="104" t="s">
        <v>644</v>
      </c>
      <c r="F272" s="104">
        <v>2</v>
      </c>
      <c r="G272" s="106"/>
      <c r="H272" s="106"/>
      <c r="I272" s="107">
        <v>258.33</v>
      </c>
      <c r="J272" s="107">
        <v>0</v>
      </c>
      <c r="K272" s="107">
        <v>200</v>
      </c>
      <c r="L272" s="107">
        <f t="shared" si="12"/>
        <v>516.66</v>
      </c>
      <c r="M272" s="107">
        <f t="shared" si="13"/>
        <v>0</v>
      </c>
      <c r="N272" s="107">
        <f t="shared" si="14"/>
        <v>400</v>
      </c>
      <c r="O272" s="129"/>
      <c r="P272" s="130" t="s">
        <v>77</v>
      </c>
    </row>
    <row r="273" ht="22" customHeight="1" spans="1:16">
      <c r="A273" s="104">
        <v>269</v>
      </c>
      <c r="B273" s="104" t="s">
        <v>645</v>
      </c>
      <c r="C273" s="111" t="s">
        <v>646</v>
      </c>
      <c r="D273" s="111"/>
      <c r="E273" s="104" t="s">
        <v>331</v>
      </c>
      <c r="F273" s="104">
        <v>3</v>
      </c>
      <c r="G273" s="106"/>
      <c r="H273" s="106"/>
      <c r="I273" s="107">
        <v>387.495</v>
      </c>
      <c r="J273" s="107">
        <v>0</v>
      </c>
      <c r="K273" s="107">
        <v>300</v>
      </c>
      <c r="L273" s="107">
        <f t="shared" si="12"/>
        <v>1162.485</v>
      </c>
      <c r="M273" s="107">
        <f t="shared" si="13"/>
        <v>0</v>
      </c>
      <c r="N273" s="107">
        <f t="shared" si="14"/>
        <v>900</v>
      </c>
      <c r="O273" s="129"/>
      <c r="P273" s="130" t="s">
        <v>77</v>
      </c>
    </row>
    <row r="274" ht="22" customHeight="1" spans="1:16">
      <c r="A274" s="104">
        <v>270</v>
      </c>
      <c r="B274" s="104" t="s">
        <v>647</v>
      </c>
      <c r="C274" s="111" t="s">
        <v>648</v>
      </c>
      <c r="D274" s="111"/>
      <c r="E274" s="104" t="s">
        <v>331</v>
      </c>
      <c r="F274" s="104">
        <v>8</v>
      </c>
      <c r="G274" s="106"/>
      <c r="H274" s="106"/>
      <c r="I274" s="107">
        <v>258.33</v>
      </c>
      <c r="J274" s="107">
        <v>0</v>
      </c>
      <c r="K274" s="107">
        <v>200</v>
      </c>
      <c r="L274" s="107">
        <f t="shared" si="12"/>
        <v>2066.64</v>
      </c>
      <c r="M274" s="107">
        <f t="shared" si="13"/>
        <v>0</v>
      </c>
      <c r="N274" s="107">
        <f t="shared" si="14"/>
        <v>1600</v>
      </c>
      <c r="O274" s="129"/>
      <c r="P274" s="130" t="s">
        <v>77</v>
      </c>
    </row>
    <row r="275" ht="22" customHeight="1" spans="1:16">
      <c r="A275" s="104">
        <v>271</v>
      </c>
      <c r="B275" s="104" t="s">
        <v>649</v>
      </c>
      <c r="C275" s="111" t="s">
        <v>650</v>
      </c>
      <c r="D275" s="111"/>
      <c r="E275" s="104" t="s">
        <v>331</v>
      </c>
      <c r="F275" s="104">
        <v>14</v>
      </c>
      <c r="G275" s="106"/>
      <c r="H275" s="106"/>
      <c r="I275" s="107">
        <v>129.165</v>
      </c>
      <c r="J275" s="107">
        <v>0</v>
      </c>
      <c r="K275" s="107">
        <v>100</v>
      </c>
      <c r="L275" s="107">
        <f t="shared" si="12"/>
        <v>1808.31</v>
      </c>
      <c r="M275" s="107">
        <f t="shared" si="13"/>
        <v>0</v>
      </c>
      <c r="N275" s="107">
        <f t="shared" si="14"/>
        <v>1400</v>
      </c>
      <c r="O275" s="129"/>
      <c r="P275" s="130" t="s">
        <v>77</v>
      </c>
    </row>
    <row r="276" ht="22" customHeight="1" spans="1:16">
      <c r="A276" s="104">
        <v>272</v>
      </c>
      <c r="B276" s="104" t="s">
        <v>651</v>
      </c>
      <c r="C276" s="111" t="s">
        <v>652</v>
      </c>
      <c r="D276" s="111" t="s">
        <v>333</v>
      </c>
      <c r="E276" s="104" t="s">
        <v>331</v>
      </c>
      <c r="F276" s="104">
        <v>8</v>
      </c>
      <c r="G276" s="106"/>
      <c r="H276" s="106"/>
      <c r="I276" s="107">
        <v>64.5825</v>
      </c>
      <c r="J276" s="107">
        <v>0</v>
      </c>
      <c r="K276" s="107">
        <v>50</v>
      </c>
      <c r="L276" s="107">
        <f t="shared" si="12"/>
        <v>516.66</v>
      </c>
      <c r="M276" s="107">
        <f t="shared" si="13"/>
        <v>0</v>
      </c>
      <c r="N276" s="107">
        <f t="shared" si="14"/>
        <v>400</v>
      </c>
      <c r="O276" s="129"/>
      <c r="P276" s="130" t="s">
        <v>77</v>
      </c>
    </row>
    <row r="277" ht="22" customHeight="1" spans="1:16">
      <c r="A277" s="104">
        <v>273</v>
      </c>
      <c r="B277" s="104" t="s">
        <v>653</v>
      </c>
      <c r="C277" s="111" t="s">
        <v>654</v>
      </c>
      <c r="D277" s="111"/>
      <c r="E277" s="104" t="s">
        <v>331</v>
      </c>
      <c r="F277" s="104">
        <v>1</v>
      </c>
      <c r="G277" s="106"/>
      <c r="H277" s="106"/>
      <c r="I277" s="107">
        <v>193.7475</v>
      </c>
      <c r="J277" s="107">
        <v>0</v>
      </c>
      <c r="K277" s="107">
        <v>150</v>
      </c>
      <c r="L277" s="107">
        <f t="shared" si="12"/>
        <v>193.7475</v>
      </c>
      <c r="M277" s="107">
        <f t="shared" si="13"/>
        <v>0</v>
      </c>
      <c r="N277" s="107">
        <f t="shared" si="14"/>
        <v>150</v>
      </c>
      <c r="O277" s="129"/>
      <c r="P277" s="130" t="s">
        <v>77</v>
      </c>
    </row>
    <row r="278" ht="22" customHeight="1" spans="1:16">
      <c r="A278" s="104">
        <v>274</v>
      </c>
      <c r="B278" s="104" t="s">
        <v>655</v>
      </c>
      <c r="C278" s="111" t="s">
        <v>656</v>
      </c>
      <c r="D278" s="111"/>
      <c r="E278" s="104" t="s">
        <v>331</v>
      </c>
      <c r="F278" s="104">
        <v>1</v>
      </c>
      <c r="G278" s="106"/>
      <c r="H278" s="106"/>
      <c r="I278" s="107">
        <v>129.165</v>
      </c>
      <c r="J278" s="107">
        <v>0</v>
      </c>
      <c r="K278" s="107">
        <v>100</v>
      </c>
      <c r="L278" s="107">
        <f t="shared" si="12"/>
        <v>129.165</v>
      </c>
      <c r="M278" s="107">
        <f t="shared" si="13"/>
        <v>0</v>
      </c>
      <c r="N278" s="107">
        <f t="shared" si="14"/>
        <v>100</v>
      </c>
      <c r="O278" s="129"/>
      <c r="P278" s="130" t="s">
        <v>77</v>
      </c>
    </row>
    <row r="279" ht="22" customHeight="1" spans="1:16">
      <c r="A279" s="104">
        <v>275</v>
      </c>
      <c r="B279" s="104" t="s">
        <v>657</v>
      </c>
      <c r="C279" s="111" t="s">
        <v>658</v>
      </c>
      <c r="D279" s="111"/>
      <c r="E279" s="104" t="s">
        <v>331</v>
      </c>
      <c r="F279" s="104">
        <v>1</v>
      </c>
      <c r="G279" s="106"/>
      <c r="H279" s="106"/>
      <c r="I279" s="107">
        <v>193.7475</v>
      </c>
      <c r="J279" s="107">
        <v>0</v>
      </c>
      <c r="K279" s="107">
        <v>150</v>
      </c>
      <c r="L279" s="107">
        <f t="shared" si="12"/>
        <v>193.7475</v>
      </c>
      <c r="M279" s="107">
        <f t="shared" si="13"/>
        <v>0</v>
      </c>
      <c r="N279" s="107">
        <f t="shared" si="14"/>
        <v>150</v>
      </c>
      <c r="O279" s="129"/>
      <c r="P279" s="130" t="s">
        <v>77</v>
      </c>
    </row>
    <row r="280" ht="22" customHeight="1" spans="1:16">
      <c r="A280" s="104">
        <v>276</v>
      </c>
      <c r="B280" s="104" t="s">
        <v>659</v>
      </c>
      <c r="C280" s="152" t="s">
        <v>660</v>
      </c>
      <c r="D280" s="152"/>
      <c r="E280" s="153" t="s">
        <v>661</v>
      </c>
      <c r="F280" s="153">
        <v>4</v>
      </c>
      <c r="G280" s="154"/>
      <c r="H280" s="106"/>
      <c r="I280" s="107">
        <v>1033.32</v>
      </c>
      <c r="J280" s="107">
        <v>0</v>
      </c>
      <c r="K280" s="107">
        <v>800</v>
      </c>
      <c r="L280" s="107">
        <f t="shared" si="12"/>
        <v>4133.28</v>
      </c>
      <c r="M280" s="107">
        <f t="shared" si="13"/>
        <v>0</v>
      </c>
      <c r="N280" s="107">
        <f t="shared" si="14"/>
        <v>3200</v>
      </c>
      <c r="O280" s="129"/>
      <c r="P280" s="130" t="s">
        <v>77</v>
      </c>
    </row>
    <row r="281" ht="22" customHeight="1" spans="1:16">
      <c r="A281" s="104">
        <v>277</v>
      </c>
      <c r="B281" s="104" t="s">
        <v>662</v>
      </c>
      <c r="C281" s="152" t="s">
        <v>663</v>
      </c>
      <c r="D281" s="152"/>
      <c r="E281" s="153" t="s">
        <v>331</v>
      </c>
      <c r="F281" s="153">
        <v>4</v>
      </c>
      <c r="G281" s="154"/>
      <c r="H281" s="106"/>
      <c r="I281" s="107">
        <v>1033.32</v>
      </c>
      <c r="J281" s="107">
        <v>0</v>
      </c>
      <c r="K281" s="107">
        <v>800</v>
      </c>
      <c r="L281" s="107">
        <f t="shared" si="12"/>
        <v>4133.28</v>
      </c>
      <c r="M281" s="107">
        <f t="shared" si="13"/>
        <v>0</v>
      </c>
      <c r="N281" s="107">
        <f t="shared" si="14"/>
        <v>3200</v>
      </c>
      <c r="O281" s="129"/>
      <c r="P281" s="130" t="s">
        <v>77</v>
      </c>
    </row>
    <row r="282" ht="22" customHeight="1" spans="1:16">
      <c r="A282" s="104">
        <v>278</v>
      </c>
      <c r="B282" s="104" t="s">
        <v>664</v>
      </c>
      <c r="C282" s="152" t="s">
        <v>442</v>
      </c>
      <c r="D282" s="152"/>
      <c r="E282" s="153" t="s">
        <v>300</v>
      </c>
      <c r="F282" s="153">
        <v>4</v>
      </c>
      <c r="G282" s="154"/>
      <c r="H282" s="106"/>
      <c r="I282" s="107">
        <v>645.825</v>
      </c>
      <c r="J282" s="107">
        <v>0</v>
      </c>
      <c r="K282" s="107">
        <v>500</v>
      </c>
      <c r="L282" s="107">
        <f t="shared" si="12"/>
        <v>2583.3</v>
      </c>
      <c r="M282" s="107">
        <f t="shared" si="13"/>
        <v>0</v>
      </c>
      <c r="N282" s="107">
        <f t="shared" si="14"/>
        <v>2000</v>
      </c>
      <c r="O282" s="129"/>
      <c r="P282" s="130" t="s">
        <v>77</v>
      </c>
    </row>
    <row r="283" ht="22" customHeight="1" spans="1:16">
      <c r="A283" s="104">
        <v>279</v>
      </c>
      <c r="B283" s="104" t="s">
        <v>665</v>
      </c>
      <c r="C283" s="152" t="s">
        <v>666</v>
      </c>
      <c r="D283" s="152" t="s">
        <v>667</v>
      </c>
      <c r="E283" s="153" t="s">
        <v>296</v>
      </c>
      <c r="F283" s="153">
        <v>2</v>
      </c>
      <c r="G283" s="154"/>
      <c r="H283" s="106"/>
      <c r="I283" s="107">
        <v>1937.475</v>
      </c>
      <c r="J283" s="107">
        <v>0</v>
      </c>
      <c r="K283" s="107">
        <v>1500</v>
      </c>
      <c r="L283" s="107">
        <f t="shared" si="12"/>
        <v>3874.95</v>
      </c>
      <c r="M283" s="107">
        <f t="shared" si="13"/>
        <v>0</v>
      </c>
      <c r="N283" s="107">
        <f t="shared" si="14"/>
        <v>3000</v>
      </c>
      <c r="O283" s="129"/>
      <c r="P283" s="130" t="s">
        <v>77</v>
      </c>
    </row>
    <row r="284" ht="22" customHeight="1" spans="1:16">
      <c r="A284" s="104">
        <v>280</v>
      </c>
      <c r="B284" s="104">
        <v>9.2</v>
      </c>
      <c r="C284" s="121" t="s">
        <v>311</v>
      </c>
      <c r="D284" s="111"/>
      <c r="E284" s="105"/>
      <c r="F284" s="105"/>
      <c r="G284" s="106"/>
      <c r="H284" s="106"/>
      <c r="I284" s="107">
        <v>0</v>
      </c>
      <c r="J284" s="107">
        <v>0</v>
      </c>
      <c r="K284" s="107">
        <v>0</v>
      </c>
      <c r="L284" s="107">
        <f t="shared" si="12"/>
        <v>0</v>
      </c>
      <c r="M284" s="107">
        <f t="shared" si="13"/>
        <v>0</v>
      </c>
      <c r="N284" s="107">
        <f t="shared" si="14"/>
        <v>0</v>
      </c>
      <c r="O284" s="129"/>
      <c r="P284" s="130"/>
    </row>
    <row r="285" ht="74" customHeight="1" spans="1:16">
      <c r="A285" s="104">
        <v>281</v>
      </c>
      <c r="B285" s="104" t="s">
        <v>668</v>
      </c>
      <c r="C285" s="111" t="s">
        <v>669</v>
      </c>
      <c r="D285" s="111" t="s">
        <v>670</v>
      </c>
      <c r="E285" s="132" t="s">
        <v>460</v>
      </c>
      <c r="F285" s="105">
        <v>1500</v>
      </c>
      <c r="G285" s="106"/>
      <c r="H285" s="106"/>
      <c r="I285" s="107">
        <v>5.830955</v>
      </c>
      <c r="J285" s="107"/>
      <c r="K285" s="107">
        <v>4</v>
      </c>
      <c r="L285" s="107">
        <f t="shared" si="12"/>
        <v>8746.4325</v>
      </c>
      <c r="M285" s="107">
        <f t="shared" si="13"/>
        <v>0</v>
      </c>
      <c r="N285" s="107">
        <f t="shared" si="14"/>
        <v>6000</v>
      </c>
      <c r="O285" s="129"/>
      <c r="P285" s="139" t="s">
        <v>620</v>
      </c>
    </row>
    <row r="286" ht="22" customHeight="1" spans="1:16">
      <c r="A286" s="104">
        <v>282</v>
      </c>
      <c r="B286" s="104" t="s">
        <v>671</v>
      </c>
      <c r="C286" s="111" t="s">
        <v>669</v>
      </c>
      <c r="D286" s="111" t="s">
        <v>672</v>
      </c>
      <c r="E286" s="132" t="s">
        <v>460</v>
      </c>
      <c r="F286" s="105">
        <v>100</v>
      </c>
      <c r="G286" s="106"/>
      <c r="H286" s="106"/>
      <c r="I286" s="107">
        <v>5.996744</v>
      </c>
      <c r="J286" s="107"/>
      <c r="K286" s="107">
        <v>4</v>
      </c>
      <c r="L286" s="107">
        <f t="shared" si="12"/>
        <v>599.6744</v>
      </c>
      <c r="M286" s="107">
        <f t="shared" si="13"/>
        <v>0</v>
      </c>
      <c r="N286" s="107">
        <f t="shared" si="14"/>
        <v>400</v>
      </c>
      <c r="O286" s="129"/>
      <c r="P286" s="130" t="s">
        <v>77</v>
      </c>
    </row>
    <row r="287" ht="22" customHeight="1" spans="1:16">
      <c r="A287" s="104">
        <v>283</v>
      </c>
      <c r="B287" s="104" t="s">
        <v>673</v>
      </c>
      <c r="C287" s="111" t="s">
        <v>674</v>
      </c>
      <c r="D287" s="111" t="s">
        <v>675</v>
      </c>
      <c r="E287" s="132" t="s">
        <v>460</v>
      </c>
      <c r="F287" s="105">
        <v>500</v>
      </c>
      <c r="G287" s="106"/>
      <c r="H287" s="106"/>
      <c r="I287" s="107">
        <v>0.167206</v>
      </c>
      <c r="J287" s="107"/>
      <c r="K287" s="107">
        <v>0</v>
      </c>
      <c r="L287" s="107">
        <f t="shared" si="12"/>
        <v>83.603</v>
      </c>
      <c r="M287" s="107">
        <f t="shared" si="13"/>
        <v>0</v>
      </c>
      <c r="N287" s="107">
        <f t="shared" si="14"/>
        <v>0</v>
      </c>
      <c r="O287" s="129"/>
      <c r="P287" s="130" t="s">
        <v>77</v>
      </c>
    </row>
    <row r="288" ht="22" customHeight="1" spans="1:16">
      <c r="A288" s="104">
        <v>284</v>
      </c>
      <c r="B288" s="104" t="s">
        <v>676</v>
      </c>
      <c r="C288" s="111" t="s">
        <v>677</v>
      </c>
      <c r="D288" s="111" t="s">
        <v>678</v>
      </c>
      <c r="E288" s="132" t="s">
        <v>460</v>
      </c>
      <c r="F288" s="105">
        <v>500</v>
      </c>
      <c r="G288" s="106"/>
      <c r="H288" s="106"/>
      <c r="I288" s="107">
        <v>5.731765</v>
      </c>
      <c r="J288" s="107"/>
      <c r="K288" s="107">
        <v>4</v>
      </c>
      <c r="L288" s="107">
        <f t="shared" si="12"/>
        <v>2865.8825</v>
      </c>
      <c r="M288" s="107">
        <f t="shared" si="13"/>
        <v>0</v>
      </c>
      <c r="N288" s="107">
        <f t="shared" si="14"/>
        <v>2000</v>
      </c>
      <c r="O288" s="129"/>
      <c r="P288" s="130" t="s">
        <v>77</v>
      </c>
    </row>
    <row r="289" ht="22" customHeight="1" spans="1:16">
      <c r="A289" s="104">
        <v>285</v>
      </c>
      <c r="B289" s="104" t="s">
        <v>679</v>
      </c>
      <c r="C289" s="111" t="s">
        <v>677</v>
      </c>
      <c r="D289" s="111" t="s">
        <v>678</v>
      </c>
      <c r="E289" s="132" t="s">
        <v>460</v>
      </c>
      <c r="F289" s="105">
        <v>1000</v>
      </c>
      <c r="G289" s="106"/>
      <c r="H289" s="106"/>
      <c r="I289" s="107">
        <v>5.731765</v>
      </c>
      <c r="J289" s="107"/>
      <c r="K289" s="107">
        <v>4</v>
      </c>
      <c r="L289" s="107">
        <f t="shared" si="12"/>
        <v>5731.765</v>
      </c>
      <c r="M289" s="107">
        <f t="shared" si="13"/>
        <v>0</v>
      </c>
      <c r="N289" s="107">
        <f t="shared" si="14"/>
        <v>4000</v>
      </c>
      <c r="O289" s="129"/>
      <c r="P289" s="130" t="s">
        <v>77</v>
      </c>
    </row>
    <row r="290" ht="22" customHeight="1" spans="1:16">
      <c r="A290" s="104">
        <v>286</v>
      </c>
      <c r="B290" s="104" t="s">
        <v>680</v>
      </c>
      <c r="C290" s="111" t="s">
        <v>681</v>
      </c>
      <c r="D290" s="111" t="s">
        <v>682</v>
      </c>
      <c r="E290" s="132" t="s">
        <v>460</v>
      </c>
      <c r="F290" s="105">
        <v>300</v>
      </c>
      <c r="G290" s="106"/>
      <c r="H290" s="106"/>
      <c r="I290" s="107">
        <v>5.747352</v>
      </c>
      <c r="J290" s="107"/>
      <c r="K290" s="107">
        <v>4</v>
      </c>
      <c r="L290" s="107">
        <f t="shared" si="12"/>
        <v>1724.2056</v>
      </c>
      <c r="M290" s="107">
        <f t="shared" si="13"/>
        <v>0</v>
      </c>
      <c r="N290" s="107">
        <f t="shared" si="14"/>
        <v>1200</v>
      </c>
      <c r="O290" s="129"/>
      <c r="P290" s="130" t="s">
        <v>77</v>
      </c>
    </row>
    <row r="291" ht="22" customHeight="1" spans="1:16">
      <c r="A291" s="104">
        <v>287</v>
      </c>
      <c r="B291" s="104" t="s">
        <v>683</v>
      </c>
      <c r="C291" s="155" t="s">
        <v>684</v>
      </c>
      <c r="D291" s="152"/>
      <c r="E291" s="132" t="s">
        <v>460</v>
      </c>
      <c r="F291" s="153">
        <v>500</v>
      </c>
      <c r="G291" s="154"/>
      <c r="H291" s="106"/>
      <c r="I291" s="107">
        <v>11.336</v>
      </c>
      <c r="J291" s="107">
        <v>0</v>
      </c>
      <c r="K291" s="107">
        <v>8</v>
      </c>
      <c r="L291" s="107">
        <f t="shared" si="12"/>
        <v>5668</v>
      </c>
      <c r="M291" s="107">
        <f t="shared" si="13"/>
        <v>0</v>
      </c>
      <c r="N291" s="107">
        <f t="shared" si="14"/>
        <v>4000</v>
      </c>
      <c r="O291" s="129"/>
      <c r="P291" s="130" t="s">
        <v>77</v>
      </c>
    </row>
    <row r="292" ht="22" customHeight="1" spans="1:16">
      <c r="A292" s="104">
        <v>288</v>
      </c>
      <c r="B292" s="104" t="s">
        <v>685</v>
      </c>
      <c r="C292" s="152" t="s">
        <v>686</v>
      </c>
      <c r="D292" s="152"/>
      <c r="E292" s="132" t="s">
        <v>460</v>
      </c>
      <c r="F292" s="153">
        <v>300</v>
      </c>
      <c r="G292" s="154"/>
      <c r="H292" s="106"/>
      <c r="I292" s="107">
        <v>11.336</v>
      </c>
      <c r="J292" s="107">
        <v>0</v>
      </c>
      <c r="K292" s="107">
        <v>8</v>
      </c>
      <c r="L292" s="107">
        <f t="shared" si="12"/>
        <v>3400.8</v>
      </c>
      <c r="M292" s="107">
        <f t="shared" si="13"/>
        <v>0</v>
      </c>
      <c r="N292" s="107">
        <f t="shared" si="14"/>
        <v>2400</v>
      </c>
      <c r="O292" s="129"/>
      <c r="P292" s="130" t="s">
        <v>77</v>
      </c>
    </row>
    <row r="293" ht="22" customHeight="1" spans="1:16">
      <c r="A293" s="104">
        <v>289</v>
      </c>
      <c r="B293" s="104" t="s">
        <v>687</v>
      </c>
      <c r="C293" s="152" t="s">
        <v>688</v>
      </c>
      <c r="D293" s="152"/>
      <c r="E293" s="132" t="s">
        <v>460</v>
      </c>
      <c r="F293" s="153">
        <v>300</v>
      </c>
      <c r="G293" s="154"/>
      <c r="H293" s="106"/>
      <c r="I293" s="107">
        <v>11.336</v>
      </c>
      <c r="J293" s="107">
        <v>0</v>
      </c>
      <c r="K293" s="107">
        <v>8</v>
      </c>
      <c r="L293" s="107">
        <f t="shared" si="12"/>
        <v>3400.8</v>
      </c>
      <c r="M293" s="107">
        <f t="shared" si="13"/>
        <v>0</v>
      </c>
      <c r="N293" s="107">
        <f t="shared" si="14"/>
        <v>2400</v>
      </c>
      <c r="O293" s="129"/>
      <c r="P293" s="130" t="s">
        <v>77</v>
      </c>
    </row>
    <row r="294" ht="22" customHeight="1" spans="1:16">
      <c r="A294" s="104">
        <v>290</v>
      </c>
      <c r="B294" s="104" t="s">
        <v>689</v>
      </c>
      <c r="C294" s="152" t="s">
        <v>690</v>
      </c>
      <c r="D294" s="152"/>
      <c r="E294" s="132" t="s">
        <v>460</v>
      </c>
      <c r="F294" s="153">
        <v>500</v>
      </c>
      <c r="G294" s="154"/>
      <c r="H294" s="106"/>
      <c r="I294" s="107">
        <v>11.336</v>
      </c>
      <c r="J294" s="107">
        <v>0</v>
      </c>
      <c r="K294" s="107">
        <v>8</v>
      </c>
      <c r="L294" s="107">
        <f t="shared" si="12"/>
        <v>5668</v>
      </c>
      <c r="M294" s="107">
        <f t="shared" si="13"/>
        <v>0</v>
      </c>
      <c r="N294" s="107">
        <f t="shared" si="14"/>
        <v>4000</v>
      </c>
      <c r="O294" s="129"/>
      <c r="P294" s="130" t="s">
        <v>77</v>
      </c>
    </row>
    <row r="295" ht="63" customHeight="1" spans="1:16">
      <c r="A295" s="104">
        <v>291</v>
      </c>
      <c r="B295" s="104" t="s">
        <v>691</v>
      </c>
      <c r="C295" s="111" t="s">
        <v>369</v>
      </c>
      <c r="D295" s="111" t="s">
        <v>345</v>
      </c>
      <c r="E295" s="116" t="s">
        <v>346</v>
      </c>
      <c r="F295" s="151">
        <v>1.65</v>
      </c>
      <c r="G295" s="106"/>
      <c r="H295" s="106"/>
      <c r="I295" s="107">
        <v>8924.38705752212</v>
      </c>
      <c r="J295" s="107">
        <v>4700</v>
      </c>
      <c r="K295" s="107">
        <v>2600</v>
      </c>
      <c r="L295" s="107">
        <f t="shared" si="12"/>
        <v>14725.2386449115</v>
      </c>
      <c r="M295" s="107">
        <f t="shared" si="13"/>
        <v>7755</v>
      </c>
      <c r="N295" s="107">
        <f t="shared" si="14"/>
        <v>4290</v>
      </c>
      <c r="O295" s="129"/>
      <c r="P295" s="112" t="s">
        <v>588</v>
      </c>
    </row>
    <row r="296" ht="22" customHeight="1" spans="1:16">
      <c r="A296" s="104">
        <v>292</v>
      </c>
      <c r="B296" s="104" t="s">
        <v>692</v>
      </c>
      <c r="C296" s="111" t="s">
        <v>693</v>
      </c>
      <c r="D296" s="111" t="s">
        <v>345</v>
      </c>
      <c r="E296" s="116" t="s">
        <v>346</v>
      </c>
      <c r="F296" s="151">
        <v>0.2</v>
      </c>
      <c r="G296" s="106"/>
      <c r="H296" s="106"/>
      <c r="I296" s="107">
        <v>8695.7764380531</v>
      </c>
      <c r="J296" s="107">
        <v>4500</v>
      </c>
      <c r="K296" s="107">
        <v>2600</v>
      </c>
      <c r="L296" s="107">
        <f t="shared" si="12"/>
        <v>1739.15528761062</v>
      </c>
      <c r="M296" s="107">
        <f t="shared" si="13"/>
        <v>900</v>
      </c>
      <c r="N296" s="107">
        <f t="shared" si="14"/>
        <v>520</v>
      </c>
      <c r="O296" s="129"/>
      <c r="P296" s="130" t="s">
        <v>77</v>
      </c>
    </row>
    <row r="297" ht="22" customHeight="1" spans="1:16">
      <c r="A297" s="104">
        <v>293</v>
      </c>
      <c r="B297" s="104" t="s">
        <v>694</v>
      </c>
      <c r="C297" s="111" t="s">
        <v>695</v>
      </c>
      <c r="D297" s="156" t="s">
        <v>696</v>
      </c>
      <c r="E297" s="132" t="s">
        <v>460</v>
      </c>
      <c r="F297" s="105">
        <v>30</v>
      </c>
      <c r="G297" s="106"/>
      <c r="H297" s="106"/>
      <c r="I297" s="107">
        <v>53.666342920354</v>
      </c>
      <c r="J297" s="107">
        <v>30</v>
      </c>
      <c r="K297" s="107">
        <v>15</v>
      </c>
      <c r="L297" s="107">
        <f t="shared" si="12"/>
        <v>1609.99028761062</v>
      </c>
      <c r="M297" s="107">
        <f t="shared" si="13"/>
        <v>900</v>
      </c>
      <c r="N297" s="107">
        <f t="shared" si="14"/>
        <v>450</v>
      </c>
      <c r="O297" s="129"/>
      <c r="P297" s="130" t="s">
        <v>77</v>
      </c>
    </row>
    <row r="298" ht="42" customHeight="1" spans="1:16">
      <c r="A298" s="104">
        <v>294</v>
      </c>
      <c r="B298" s="104" t="s">
        <v>697</v>
      </c>
      <c r="C298" s="111" t="s">
        <v>593</v>
      </c>
      <c r="D298" s="156" t="s">
        <v>594</v>
      </c>
      <c r="E298" s="132" t="s">
        <v>460</v>
      </c>
      <c r="F298" s="105">
        <v>60</v>
      </c>
      <c r="G298" s="106"/>
      <c r="H298" s="106"/>
      <c r="I298" s="107">
        <v>14.6082185840708</v>
      </c>
      <c r="J298" s="107">
        <v>6</v>
      </c>
      <c r="K298" s="107">
        <v>6</v>
      </c>
      <c r="L298" s="107">
        <f t="shared" si="12"/>
        <v>876.493115044248</v>
      </c>
      <c r="M298" s="107">
        <f t="shared" si="13"/>
        <v>360</v>
      </c>
      <c r="N298" s="107">
        <f t="shared" si="14"/>
        <v>360</v>
      </c>
      <c r="O298" s="129"/>
      <c r="P298" s="112" t="s">
        <v>595</v>
      </c>
    </row>
    <row r="299" ht="43" customHeight="1" spans="1:16">
      <c r="A299" s="104">
        <v>295</v>
      </c>
      <c r="B299" s="104" t="s">
        <v>698</v>
      </c>
      <c r="C299" s="115" t="s">
        <v>699</v>
      </c>
      <c r="D299" s="111" t="s">
        <v>345</v>
      </c>
      <c r="E299" s="116" t="s">
        <v>346</v>
      </c>
      <c r="F299" s="151">
        <v>0.3</v>
      </c>
      <c r="G299" s="106"/>
      <c r="H299" s="106"/>
      <c r="I299" s="107">
        <v>7857.34699115044</v>
      </c>
      <c r="J299" s="107">
        <v>3910</v>
      </c>
      <c r="K299" s="107">
        <v>2150</v>
      </c>
      <c r="L299" s="107">
        <f t="shared" si="12"/>
        <v>2357.20409734513</v>
      </c>
      <c r="M299" s="107">
        <f t="shared" si="13"/>
        <v>1173</v>
      </c>
      <c r="N299" s="107">
        <f t="shared" si="14"/>
        <v>645</v>
      </c>
      <c r="O299" s="129"/>
      <c r="P299" s="112" t="s">
        <v>586</v>
      </c>
    </row>
    <row r="300" ht="22" customHeight="1" spans="1:16">
      <c r="A300" s="104">
        <v>296</v>
      </c>
      <c r="B300" s="133">
        <v>10</v>
      </c>
      <c r="C300" s="111" t="s">
        <v>700</v>
      </c>
      <c r="D300" s="111"/>
      <c r="E300" s="116"/>
      <c r="F300" s="104"/>
      <c r="G300" s="106"/>
      <c r="H300" s="106"/>
      <c r="I300" s="107">
        <v>0</v>
      </c>
      <c r="J300" s="107">
        <v>0</v>
      </c>
      <c r="K300" s="107">
        <v>0</v>
      </c>
      <c r="L300" s="107">
        <f>SUM(L301:L319)</f>
        <v>28643.657119469</v>
      </c>
      <c r="M300" s="107">
        <f>SUM(M301:M319)</f>
        <v>200</v>
      </c>
      <c r="N300" s="107">
        <f>SUM(N301:N319)</f>
        <v>20880</v>
      </c>
      <c r="O300" s="129"/>
      <c r="P300" s="112"/>
    </row>
    <row r="301" ht="22" customHeight="1" spans="1:16">
      <c r="A301" s="104">
        <v>297</v>
      </c>
      <c r="B301" s="133">
        <v>10.1</v>
      </c>
      <c r="C301" s="111" t="s">
        <v>701</v>
      </c>
      <c r="D301" s="111"/>
      <c r="E301" s="116"/>
      <c r="F301" s="104"/>
      <c r="G301" s="106"/>
      <c r="H301" s="106"/>
      <c r="I301" s="107">
        <v>0</v>
      </c>
      <c r="J301" s="107">
        <v>0</v>
      </c>
      <c r="K301" s="107">
        <v>0</v>
      </c>
      <c r="L301" s="107">
        <f t="shared" si="12"/>
        <v>0</v>
      </c>
      <c r="M301" s="107">
        <f t="shared" si="13"/>
        <v>0</v>
      </c>
      <c r="N301" s="107">
        <f t="shared" si="14"/>
        <v>0</v>
      </c>
      <c r="O301" s="129"/>
      <c r="P301" s="112"/>
    </row>
    <row r="302" ht="22" customHeight="1" spans="1:16">
      <c r="A302" s="104">
        <v>298</v>
      </c>
      <c r="B302" s="128" t="s">
        <v>702</v>
      </c>
      <c r="C302" s="111" t="s">
        <v>319</v>
      </c>
      <c r="D302" s="111"/>
      <c r="E302" s="116"/>
      <c r="F302" s="104"/>
      <c r="G302" s="106"/>
      <c r="H302" s="106"/>
      <c r="I302" s="107">
        <v>0</v>
      </c>
      <c r="J302" s="107">
        <v>0</v>
      </c>
      <c r="K302" s="107">
        <v>0</v>
      </c>
      <c r="L302" s="107">
        <f t="shared" si="12"/>
        <v>0</v>
      </c>
      <c r="M302" s="107">
        <f t="shared" si="13"/>
        <v>0</v>
      </c>
      <c r="N302" s="107">
        <f t="shared" si="14"/>
        <v>0</v>
      </c>
      <c r="O302" s="129"/>
      <c r="P302" s="112"/>
    </row>
    <row r="303" ht="77" customHeight="1" spans="1:16">
      <c r="A303" s="104">
        <v>299</v>
      </c>
      <c r="B303" s="128" t="s">
        <v>703</v>
      </c>
      <c r="C303" s="111" t="s">
        <v>704</v>
      </c>
      <c r="D303" s="111"/>
      <c r="E303" s="116" t="s">
        <v>331</v>
      </c>
      <c r="F303" s="104">
        <v>1</v>
      </c>
      <c r="G303" s="106"/>
      <c r="H303" s="106"/>
      <c r="I303" s="107">
        <v>1033.32</v>
      </c>
      <c r="J303" s="107">
        <v>0</v>
      </c>
      <c r="K303" s="107">
        <v>800</v>
      </c>
      <c r="L303" s="107">
        <f t="shared" si="12"/>
        <v>1033.32</v>
      </c>
      <c r="M303" s="107">
        <f t="shared" si="13"/>
        <v>0</v>
      </c>
      <c r="N303" s="107">
        <f t="shared" si="14"/>
        <v>800</v>
      </c>
      <c r="O303" s="129"/>
      <c r="P303" s="112" t="s">
        <v>434</v>
      </c>
    </row>
    <row r="304" ht="22" customHeight="1" spans="1:16">
      <c r="A304" s="104">
        <v>300</v>
      </c>
      <c r="B304" s="128" t="s">
        <v>705</v>
      </c>
      <c r="C304" s="111" t="s">
        <v>706</v>
      </c>
      <c r="D304" s="111"/>
      <c r="E304" s="116" t="s">
        <v>331</v>
      </c>
      <c r="F304" s="104">
        <v>4</v>
      </c>
      <c r="G304" s="106"/>
      <c r="H304" s="106"/>
      <c r="I304" s="107">
        <v>1033.32</v>
      </c>
      <c r="J304" s="107">
        <v>0</v>
      </c>
      <c r="K304" s="107">
        <v>800</v>
      </c>
      <c r="L304" s="107">
        <f t="shared" si="12"/>
        <v>4133.28</v>
      </c>
      <c r="M304" s="107">
        <f t="shared" si="13"/>
        <v>0</v>
      </c>
      <c r="N304" s="107">
        <f t="shared" si="14"/>
        <v>3200</v>
      </c>
      <c r="O304" s="129"/>
      <c r="P304" s="112" t="s">
        <v>77</v>
      </c>
    </row>
    <row r="305" ht="22" customHeight="1" spans="1:16">
      <c r="A305" s="104">
        <v>301</v>
      </c>
      <c r="B305" s="128" t="s">
        <v>707</v>
      </c>
      <c r="C305" s="111" t="s">
        <v>708</v>
      </c>
      <c r="D305" s="115" t="s">
        <v>709</v>
      </c>
      <c r="E305" s="116" t="s">
        <v>331</v>
      </c>
      <c r="F305" s="104">
        <v>3</v>
      </c>
      <c r="G305" s="106"/>
      <c r="H305" s="106"/>
      <c r="I305" s="107">
        <v>645.825</v>
      </c>
      <c r="J305" s="107">
        <v>0</v>
      </c>
      <c r="K305" s="107">
        <v>500</v>
      </c>
      <c r="L305" s="107">
        <f t="shared" si="12"/>
        <v>1937.475</v>
      </c>
      <c r="M305" s="107">
        <f t="shared" si="13"/>
        <v>0</v>
      </c>
      <c r="N305" s="107">
        <f t="shared" si="14"/>
        <v>1500</v>
      </c>
      <c r="O305" s="129"/>
      <c r="P305" s="112" t="s">
        <v>77</v>
      </c>
    </row>
    <row r="306" ht="22" customHeight="1" spans="1:16">
      <c r="A306" s="104">
        <v>302</v>
      </c>
      <c r="B306" s="128" t="s">
        <v>710</v>
      </c>
      <c r="C306" s="111" t="s">
        <v>711</v>
      </c>
      <c r="D306" s="111" t="s">
        <v>712</v>
      </c>
      <c r="E306" s="116" t="s">
        <v>331</v>
      </c>
      <c r="F306" s="104">
        <v>1</v>
      </c>
      <c r="G306" s="106"/>
      <c r="H306" s="106"/>
      <c r="I306" s="107">
        <v>645.825</v>
      </c>
      <c r="J306" s="107">
        <v>0</v>
      </c>
      <c r="K306" s="107">
        <v>500</v>
      </c>
      <c r="L306" s="107">
        <f t="shared" si="12"/>
        <v>645.825</v>
      </c>
      <c r="M306" s="107">
        <f t="shared" si="13"/>
        <v>0</v>
      </c>
      <c r="N306" s="107">
        <f t="shared" si="14"/>
        <v>500</v>
      </c>
      <c r="O306" s="129"/>
      <c r="P306" s="112" t="s">
        <v>77</v>
      </c>
    </row>
    <row r="307" ht="22" customHeight="1" spans="1:16">
      <c r="A307" s="104">
        <v>303</v>
      </c>
      <c r="B307" s="128" t="s">
        <v>713</v>
      </c>
      <c r="C307" s="111" t="s">
        <v>714</v>
      </c>
      <c r="D307" s="111"/>
      <c r="E307" s="116" t="s">
        <v>331</v>
      </c>
      <c r="F307" s="104">
        <v>1</v>
      </c>
      <c r="G307" s="106"/>
      <c r="H307" s="106"/>
      <c r="I307" s="107">
        <v>645.825</v>
      </c>
      <c r="J307" s="107">
        <v>0</v>
      </c>
      <c r="K307" s="107">
        <v>500</v>
      </c>
      <c r="L307" s="107">
        <f t="shared" si="12"/>
        <v>645.825</v>
      </c>
      <c r="M307" s="107">
        <f t="shared" si="13"/>
        <v>0</v>
      </c>
      <c r="N307" s="107">
        <f t="shared" si="14"/>
        <v>500</v>
      </c>
      <c r="O307" s="129"/>
      <c r="P307" s="112" t="s">
        <v>77</v>
      </c>
    </row>
    <row r="308" ht="22" customHeight="1" spans="1:16">
      <c r="A308" s="104">
        <v>304</v>
      </c>
      <c r="B308" s="128" t="s">
        <v>715</v>
      </c>
      <c r="C308" s="111" t="s">
        <v>714</v>
      </c>
      <c r="D308" s="111"/>
      <c r="E308" s="116" t="s">
        <v>331</v>
      </c>
      <c r="F308" s="104">
        <v>1</v>
      </c>
      <c r="G308" s="106"/>
      <c r="H308" s="106"/>
      <c r="I308" s="107">
        <v>645.825</v>
      </c>
      <c r="J308" s="107">
        <v>0</v>
      </c>
      <c r="K308" s="107">
        <v>500</v>
      </c>
      <c r="L308" s="107">
        <f t="shared" si="12"/>
        <v>645.825</v>
      </c>
      <c r="M308" s="107">
        <f t="shared" si="13"/>
        <v>0</v>
      </c>
      <c r="N308" s="107">
        <f t="shared" si="14"/>
        <v>500</v>
      </c>
      <c r="O308" s="129"/>
      <c r="P308" s="112" t="s">
        <v>77</v>
      </c>
    </row>
    <row r="309" ht="22" customHeight="1" spans="1:16">
      <c r="A309" s="104">
        <v>305</v>
      </c>
      <c r="B309" s="128" t="s">
        <v>716</v>
      </c>
      <c r="C309" s="111" t="s">
        <v>442</v>
      </c>
      <c r="D309" s="111"/>
      <c r="E309" s="104" t="s">
        <v>296</v>
      </c>
      <c r="F309" s="104">
        <v>1</v>
      </c>
      <c r="G309" s="106"/>
      <c r="H309" s="106"/>
      <c r="I309" s="107">
        <v>645.825</v>
      </c>
      <c r="J309" s="107">
        <v>0</v>
      </c>
      <c r="K309" s="107">
        <v>500</v>
      </c>
      <c r="L309" s="107">
        <f t="shared" si="12"/>
        <v>645.825</v>
      </c>
      <c r="M309" s="107">
        <f t="shared" si="13"/>
        <v>0</v>
      </c>
      <c r="N309" s="107">
        <f t="shared" si="14"/>
        <v>500</v>
      </c>
      <c r="O309" s="129"/>
      <c r="P309" s="112" t="s">
        <v>77</v>
      </c>
    </row>
    <row r="310" ht="22" customHeight="1" spans="1:16">
      <c r="A310" s="104">
        <v>306</v>
      </c>
      <c r="B310" s="128" t="s">
        <v>717</v>
      </c>
      <c r="C310" s="111" t="s">
        <v>718</v>
      </c>
      <c r="D310" s="115" t="s">
        <v>719</v>
      </c>
      <c r="E310" s="104" t="s">
        <v>331</v>
      </c>
      <c r="F310" s="104">
        <v>1</v>
      </c>
      <c r="G310" s="106"/>
      <c r="H310" s="106"/>
      <c r="I310" s="107">
        <v>645.825</v>
      </c>
      <c r="J310" s="107">
        <v>0</v>
      </c>
      <c r="K310" s="107">
        <v>500</v>
      </c>
      <c r="L310" s="107">
        <f t="shared" si="12"/>
        <v>645.825</v>
      </c>
      <c r="M310" s="107">
        <f t="shared" si="13"/>
        <v>0</v>
      </c>
      <c r="N310" s="107">
        <f t="shared" si="14"/>
        <v>500</v>
      </c>
      <c r="O310" s="129"/>
      <c r="P310" s="112" t="s">
        <v>77</v>
      </c>
    </row>
    <row r="311" ht="22" customHeight="1" spans="1:16">
      <c r="A311" s="104">
        <v>307</v>
      </c>
      <c r="B311" s="128" t="s">
        <v>720</v>
      </c>
      <c r="C311" s="111" t="s">
        <v>718</v>
      </c>
      <c r="D311" s="115" t="s">
        <v>721</v>
      </c>
      <c r="E311" s="104" t="s">
        <v>331</v>
      </c>
      <c r="F311" s="104">
        <v>1</v>
      </c>
      <c r="G311" s="106"/>
      <c r="H311" s="106"/>
      <c r="I311" s="107">
        <v>645.825</v>
      </c>
      <c r="J311" s="107">
        <v>0</v>
      </c>
      <c r="K311" s="107">
        <v>500</v>
      </c>
      <c r="L311" s="107">
        <f t="shared" si="12"/>
        <v>645.825</v>
      </c>
      <c r="M311" s="107">
        <f t="shared" si="13"/>
        <v>0</v>
      </c>
      <c r="N311" s="107">
        <f t="shared" si="14"/>
        <v>500</v>
      </c>
      <c r="O311" s="129"/>
      <c r="P311" s="112" t="s">
        <v>77</v>
      </c>
    </row>
    <row r="312" ht="22" customHeight="1" spans="1:16">
      <c r="A312" s="104">
        <v>308</v>
      </c>
      <c r="B312" s="128" t="s">
        <v>722</v>
      </c>
      <c r="C312" s="111" t="s">
        <v>723</v>
      </c>
      <c r="D312" s="115" t="s">
        <v>724</v>
      </c>
      <c r="E312" s="104" t="s">
        <v>296</v>
      </c>
      <c r="F312" s="104">
        <v>1</v>
      </c>
      <c r="G312" s="106"/>
      <c r="H312" s="106"/>
      <c r="I312" s="107">
        <v>387.495</v>
      </c>
      <c r="J312" s="107">
        <v>0</v>
      </c>
      <c r="K312" s="107">
        <v>300</v>
      </c>
      <c r="L312" s="107">
        <f t="shared" si="12"/>
        <v>387.495</v>
      </c>
      <c r="M312" s="107">
        <f t="shared" si="13"/>
        <v>0</v>
      </c>
      <c r="N312" s="107">
        <f t="shared" si="14"/>
        <v>300</v>
      </c>
      <c r="O312" s="130"/>
      <c r="P312" s="112" t="s">
        <v>77</v>
      </c>
    </row>
    <row r="313" ht="22" customHeight="1" spans="1:16">
      <c r="A313" s="104">
        <v>309</v>
      </c>
      <c r="B313" s="133">
        <v>10.2</v>
      </c>
      <c r="C313" s="121" t="s">
        <v>311</v>
      </c>
      <c r="D313" s="111"/>
      <c r="E313" s="116"/>
      <c r="F313" s="104"/>
      <c r="G313" s="106"/>
      <c r="H313" s="106"/>
      <c r="I313" s="107">
        <v>0</v>
      </c>
      <c r="J313" s="107">
        <v>0</v>
      </c>
      <c r="K313" s="107">
        <v>0</v>
      </c>
      <c r="L313" s="107">
        <f t="shared" si="12"/>
        <v>0</v>
      </c>
      <c r="M313" s="107">
        <f t="shared" si="13"/>
        <v>0</v>
      </c>
      <c r="N313" s="107">
        <f t="shared" si="14"/>
        <v>0</v>
      </c>
      <c r="O313" s="130"/>
      <c r="P313" s="112"/>
    </row>
    <row r="314" ht="31" customHeight="1" spans="1:16">
      <c r="A314" s="104">
        <v>310</v>
      </c>
      <c r="B314" s="128" t="s">
        <v>725</v>
      </c>
      <c r="C314" s="111" t="s">
        <v>590</v>
      </c>
      <c r="D314" s="111" t="s">
        <v>726</v>
      </c>
      <c r="E314" s="132" t="s">
        <v>460</v>
      </c>
      <c r="F314" s="104">
        <v>10</v>
      </c>
      <c r="G314" s="106"/>
      <c r="H314" s="106"/>
      <c r="I314" s="107">
        <v>21.6608561946903</v>
      </c>
      <c r="J314" s="107">
        <v>2</v>
      </c>
      <c r="K314" s="107">
        <v>15</v>
      </c>
      <c r="L314" s="107">
        <f t="shared" si="12"/>
        <v>216.608561946903</v>
      </c>
      <c r="M314" s="107">
        <f t="shared" si="13"/>
        <v>20</v>
      </c>
      <c r="N314" s="107">
        <f t="shared" si="14"/>
        <v>150</v>
      </c>
      <c r="O314" s="130"/>
      <c r="P314" s="112" t="s">
        <v>95</v>
      </c>
    </row>
    <row r="315" ht="22" customHeight="1" spans="1:16">
      <c r="A315" s="104">
        <v>311</v>
      </c>
      <c r="B315" s="128" t="s">
        <v>727</v>
      </c>
      <c r="C315" s="111" t="s">
        <v>728</v>
      </c>
      <c r="D315" s="111" t="s">
        <v>729</v>
      </c>
      <c r="E315" s="132" t="s">
        <v>460</v>
      </c>
      <c r="F315" s="104">
        <v>30</v>
      </c>
      <c r="G315" s="106"/>
      <c r="H315" s="106"/>
      <c r="I315" s="107">
        <v>26.2330685840708</v>
      </c>
      <c r="J315" s="107">
        <v>6</v>
      </c>
      <c r="K315" s="107">
        <v>15</v>
      </c>
      <c r="L315" s="107">
        <f t="shared" si="12"/>
        <v>786.992057522124</v>
      </c>
      <c r="M315" s="107">
        <f t="shared" si="13"/>
        <v>180</v>
      </c>
      <c r="N315" s="107">
        <f t="shared" si="14"/>
        <v>450</v>
      </c>
      <c r="O315" s="130"/>
      <c r="P315" s="112" t="s">
        <v>77</v>
      </c>
    </row>
    <row r="316" ht="71" customHeight="1" spans="1:16">
      <c r="A316" s="104">
        <v>312</v>
      </c>
      <c r="B316" s="128" t="s">
        <v>730</v>
      </c>
      <c r="C316" s="111" t="s">
        <v>731</v>
      </c>
      <c r="D316" s="111" t="s">
        <v>732</v>
      </c>
      <c r="E316" s="132" t="s">
        <v>460</v>
      </c>
      <c r="F316" s="104">
        <v>30</v>
      </c>
      <c r="G316" s="106"/>
      <c r="H316" s="106"/>
      <c r="I316" s="107">
        <v>5.88055</v>
      </c>
      <c r="J316" s="107"/>
      <c r="K316" s="107">
        <v>4</v>
      </c>
      <c r="L316" s="107">
        <f t="shared" si="12"/>
        <v>176.4165</v>
      </c>
      <c r="M316" s="107">
        <f t="shared" si="13"/>
        <v>0</v>
      </c>
      <c r="N316" s="107">
        <f t="shared" si="14"/>
        <v>120</v>
      </c>
      <c r="O316" s="130"/>
      <c r="P316" s="139" t="s">
        <v>620</v>
      </c>
    </row>
    <row r="317" ht="22" customHeight="1" spans="1:16">
      <c r="A317" s="104">
        <v>313</v>
      </c>
      <c r="B317" s="128" t="s">
        <v>733</v>
      </c>
      <c r="C317" s="115" t="s">
        <v>734</v>
      </c>
      <c r="D317" s="115" t="s">
        <v>735</v>
      </c>
      <c r="E317" s="132" t="s">
        <v>460</v>
      </c>
      <c r="F317" s="104">
        <v>300</v>
      </c>
      <c r="G317" s="106"/>
      <c r="H317" s="106"/>
      <c r="I317" s="107">
        <v>5.668</v>
      </c>
      <c r="J317" s="107">
        <v>0</v>
      </c>
      <c r="K317" s="107">
        <v>4</v>
      </c>
      <c r="L317" s="107">
        <f t="shared" si="12"/>
        <v>1700.4</v>
      </c>
      <c r="M317" s="107">
        <f t="shared" si="13"/>
        <v>0</v>
      </c>
      <c r="N317" s="107">
        <f t="shared" si="14"/>
        <v>1200</v>
      </c>
      <c r="O317" s="129"/>
      <c r="P317" s="112" t="s">
        <v>77</v>
      </c>
    </row>
    <row r="318" ht="22" customHeight="1" spans="1:16">
      <c r="A318" s="104">
        <v>314</v>
      </c>
      <c r="B318" s="128" t="s">
        <v>736</v>
      </c>
      <c r="C318" s="115" t="s">
        <v>737</v>
      </c>
      <c r="D318" s="111" t="s">
        <v>738</v>
      </c>
      <c r="E318" s="132" t="s">
        <v>460</v>
      </c>
      <c r="F318" s="104">
        <v>2000</v>
      </c>
      <c r="G318" s="106"/>
      <c r="H318" s="106"/>
      <c r="I318" s="107">
        <v>7.085</v>
      </c>
      <c r="J318" s="107">
        <v>0</v>
      </c>
      <c r="K318" s="107">
        <v>5</v>
      </c>
      <c r="L318" s="107">
        <f t="shared" si="12"/>
        <v>14170</v>
      </c>
      <c r="M318" s="107">
        <f t="shared" si="13"/>
        <v>0</v>
      </c>
      <c r="N318" s="107">
        <f t="shared" si="14"/>
        <v>10000</v>
      </c>
      <c r="O318" s="129"/>
      <c r="P318" s="112" t="s">
        <v>77</v>
      </c>
    </row>
    <row r="319" ht="22" customHeight="1" spans="1:16">
      <c r="A319" s="104">
        <v>315</v>
      </c>
      <c r="B319" s="128" t="s">
        <v>739</v>
      </c>
      <c r="C319" s="115" t="s">
        <v>740</v>
      </c>
      <c r="D319" s="111" t="s">
        <v>741</v>
      </c>
      <c r="E319" s="104" t="s">
        <v>742</v>
      </c>
      <c r="F319" s="104">
        <v>16</v>
      </c>
      <c r="G319" s="106"/>
      <c r="H319" s="106"/>
      <c r="I319" s="107">
        <v>14.17</v>
      </c>
      <c r="J319" s="107">
        <v>0</v>
      </c>
      <c r="K319" s="107">
        <v>10</v>
      </c>
      <c r="L319" s="107">
        <f t="shared" si="12"/>
        <v>226.72</v>
      </c>
      <c r="M319" s="107">
        <f t="shared" si="13"/>
        <v>0</v>
      </c>
      <c r="N319" s="107">
        <f t="shared" si="14"/>
        <v>160</v>
      </c>
      <c r="O319" s="129"/>
      <c r="P319" s="112" t="s">
        <v>77</v>
      </c>
    </row>
    <row r="320" ht="22" customHeight="1" spans="1:16">
      <c r="A320" s="104">
        <v>316</v>
      </c>
      <c r="B320" s="104">
        <v>11</v>
      </c>
      <c r="C320" s="121" t="s">
        <v>743</v>
      </c>
      <c r="D320" s="111"/>
      <c r="E320" s="104"/>
      <c r="F320" s="104"/>
      <c r="G320" s="106"/>
      <c r="H320" s="106"/>
      <c r="I320" s="107">
        <v>0</v>
      </c>
      <c r="J320" s="107">
        <v>0</v>
      </c>
      <c r="K320" s="107">
        <v>0</v>
      </c>
      <c r="L320" s="107">
        <f>SUM(L321:L337)</f>
        <v>30869.7542443584</v>
      </c>
      <c r="M320" s="107">
        <f>SUM(M321:M337)</f>
        <v>6317.3</v>
      </c>
      <c r="N320" s="107">
        <f>SUM(N321:N337)</f>
        <v>17573.4</v>
      </c>
      <c r="O320" s="130"/>
      <c r="P320" s="112"/>
    </row>
    <row r="321" ht="22" customHeight="1" spans="1:16">
      <c r="A321" s="104">
        <v>317</v>
      </c>
      <c r="B321" s="128" t="s">
        <v>744</v>
      </c>
      <c r="C321" s="111" t="s">
        <v>319</v>
      </c>
      <c r="D321" s="111"/>
      <c r="E321" s="104"/>
      <c r="F321" s="104"/>
      <c r="G321" s="106"/>
      <c r="H321" s="106"/>
      <c r="I321" s="107">
        <v>0</v>
      </c>
      <c r="J321" s="107">
        <v>0</v>
      </c>
      <c r="K321" s="107">
        <v>0</v>
      </c>
      <c r="L321" s="107">
        <f t="shared" si="12"/>
        <v>0</v>
      </c>
      <c r="M321" s="107">
        <f t="shared" si="13"/>
        <v>0</v>
      </c>
      <c r="N321" s="107">
        <f t="shared" si="14"/>
        <v>0</v>
      </c>
      <c r="O321" s="130"/>
      <c r="P321" s="112"/>
    </row>
    <row r="322" ht="78" customHeight="1" spans="1:16">
      <c r="A322" s="104">
        <v>318</v>
      </c>
      <c r="B322" s="128" t="s">
        <v>745</v>
      </c>
      <c r="C322" s="111" t="s">
        <v>746</v>
      </c>
      <c r="D322" s="115" t="s">
        <v>747</v>
      </c>
      <c r="E322" s="104" t="s">
        <v>331</v>
      </c>
      <c r="F322" s="104">
        <v>1</v>
      </c>
      <c r="G322" s="106"/>
      <c r="H322" s="106"/>
      <c r="I322" s="107">
        <v>645.825</v>
      </c>
      <c r="J322" s="107">
        <v>0</v>
      </c>
      <c r="K322" s="107">
        <v>500</v>
      </c>
      <c r="L322" s="107">
        <f t="shared" si="12"/>
        <v>645.825</v>
      </c>
      <c r="M322" s="107">
        <f t="shared" si="13"/>
        <v>0</v>
      </c>
      <c r="N322" s="107">
        <f t="shared" si="14"/>
        <v>500</v>
      </c>
      <c r="O322" s="130"/>
      <c r="P322" s="112" t="s">
        <v>434</v>
      </c>
    </row>
    <row r="323" ht="33" customHeight="1" spans="1:16">
      <c r="A323" s="104">
        <v>319</v>
      </c>
      <c r="B323" s="128" t="s">
        <v>748</v>
      </c>
      <c r="C323" s="111" t="s">
        <v>749</v>
      </c>
      <c r="D323" s="115" t="s">
        <v>747</v>
      </c>
      <c r="E323" s="104" t="s">
        <v>331</v>
      </c>
      <c r="F323" s="104">
        <v>1</v>
      </c>
      <c r="G323" s="106"/>
      <c r="H323" s="106"/>
      <c r="I323" s="107">
        <v>645.825</v>
      </c>
      <c r="J323" s="107">
        <v>0</v>
      </c>
      <c r="K323" s="107">
        <v>500</v>
      </c>
      <c r="L323" s="107">
        <f t="shared" si="12"/>
        <v>645.825</v>
      </c>
      <c r="M323" s="107">
        <f t="shared" si="13"/>
        <v>0</v>
      </c>
      <c r="N323" s="107">
        <f t="shared" si="14"/>
        <v>500</v>
      </c>
      <c r="O323" s="130"/>
      <c r="P323" s="112" t="s">
        <v>77</v>
      </c>
    </row>
    <row r="324" ht="33" customHeight="1" spans="1:16">
      <c r="A324" s="104">
        <v>320</v>
      </c>
      <c r="B324" s="128" t="s">
        <v>750</v>
      </c>
      <c r="C324" s="111" t="s">
        <v>751</v>
      </c>
      <c r="D324" s="115" t="s">
        <v>747</v>
      </c>
      <c r="E324" s="104" t="s">
        <v>331</v>
      </c>
      <c r="F324" s="104">
        <v>1</v>
      </c>
      <c r="G324" s="106"/>
      <c r="H324" s="106"/>
      <c r="I324" s="107">
        <v>645.825</v>
      </c>
      <c r="J324" s="107">
        <v>0</v>
      </c>
      <c r="K324" s="107">
        <v>500</v>
      </c>
      <c r="L324" s="107">
        <f t="shared" si="12"/>
        <v>645.825</v>
      </c>
      <c r="M324" s="107">
        <f t="shared" si="13"/>
        <v>0</v>
      </c>
      <c r="N324" s="107">
        <f t="shared" si="14"/>
        <v>500</v>
      </c>
      <c r="O324" s="130"/>
      <c r="P324" s="112" t="s">
        <v>77</v>
      </c>
    </row>
    <row r="325" ht="22" customHeight="1" spans="1:16">
      <c r="A325" s="104">
        <v>321</v>
      </c>
      <c r="B325" s="128" t="s">
        <v>752</v>
      </c>
      <c r="C325" s="111" t="s">
        <v>753</v>
      </c>
      <c r="D325" s="111"/>
      <c r="E325" s="104" t="s">
        <v>331</v>
      </c>
      <c r="F325" s="104">
        <v>1</v>
      </c>
      <c r="G325" s="106"/>
      <c r="H325" s="106"/>
      <c r="I325" s="107">
        <v>645.825</v>
      </c>
      <c r="J325" s="107">
        <v>0</v>
      </c>
      <c r="K325" s="107">
        <v>500</v>
      </c>
      <c r="L325" s="107">
        <f t="shared" si="12"/>
        <v>645.825</v>
      </c>
      <c r="M325" s="107">
        <f t="shared" si="13"/>
        <v>0</v>
      </c>
      <c r="N325" s="107">
        <f t="shared" si="14"/>
        <v>500</v>
      </c>
      <c r="O325" s="130"/>
      <c r="P325" s="112" t="s">
        <v>77</v>
      </c>
    </row>
    <row r="326" ht="31" customHeight="1" spans="1:16">
      <c r="A326" s="104">
        <v>322</v>
      </c>
      <c r="B326" s="128" t="s">
        <v>754</v>
      </c>
      <c r="C326" s="111" t="s">
        <v>755</v>
      </c>
      <c r="D326" s="111" t="s">
        <v>756</v>
      </c>
      <c r="E326" s="104" t="s">
        <v>331</v>
      </c>
      <c r="F326" s="104">
        <v>1</v>
      </c>
      <c r="G326" s="106"/>
      <c r="H326" s="106"/>
      <c r="I326" s="107">
        <v>645.825</v>
      </c>
      <c r="J326" s="107">
        <v>0</v>
      </c>
      <c r="K326" s="107">
        <v>500</v>
      </c>
      <c r="L326" s="107">
        <f t="shared" si="12"/>
        <v>645.825</v>
      </c>
      <c r="M326" s="107">
        <f t="shared" si="13"/>
        <v>0</v>
      </c>
      <c r="N326" s="107">
        <f t="shared" si="14"/>
        <v>500</v>
      </c>
      <c r="O326" s="130"/>
      <c r="P326" s="112" t="s">
        <v>77</v>
      </c>
    </row>
    <row r="327" ht="22" customHeight="1" spans="1:16">
      <c r="A327" s="104">
        <v>323</v>
      </c>
      <c r="B327" s="128" t="s">
        <v>757</v>
      </c>
      <c r="C327" s="111" t="s">
        <v>758</v>
      </c>
      <c r="D327" s="111"/>
      <c r="E327" s="104" t="s">
        <v>331</v>
      </c>
      <c r="F327" s="104">
        <v>3</v>
      </c>
      <c r="G327" s="106"/>
      <c r="H327" s="106"/>
      <c r="I327" s="107">
        <v>645.825</v>
      </c>
      <c r="J327" s="107">
        <v>0</v>
      </c>
      <c r="K327" s="107">
        <v>500</v>
      </c>
      <c r="L327" s="107">
        <f t="shared" ref="L327:L390" si="15">F327*I327</f>
        <v>1937.475</v>
      </c>
      <c r="M327" s="107">
        <f t="shared" ref="M327:M390" si="16">F327*J327</f>
        <v>0</v>
      </c>
      <c r="N327" s="107">
        <f t="shared" ref="N327:N390" si="17">F327*K327</f>
        <v>1500</v>
      </c>
      <c r="O327" s="130"/>
      <c r="P327" s="112" t="s">
        <v>77</v>
      </c>
    </row>
    <row r="328" ht="22" customHeight="1" spans="1:16">
      <c r="A328" s="104">
        <v>324</v>
      </c>
      <c r="B328" s="128" t="s">
        <v>759</v>
      </c>
      <c r="C328" s="111" t="s">
        <v>760</v>
      </c>
      <c r="D328" s="111"/>
      <c r="E328" s="104" t="s">
        <v>331</v>
      </c>
      <c r="F328" s="104">
        <v>3</v>
      </c>
      <c r="G328" s="106"/>
      <c r="H328" s="106"/>
      <c r="I328" s="107">
        <v>645.825</v>
      </c>
      <c r="J328" s="107">
        <v>0</v>
      </c>
      <c r="K328" s="107">
        <v>500</v>
      </c>
      <c r="L328" s="107">
        <f t="shared" si="15"/>
        <v>1937.475</v>
      </c>
      <c r="M328" s="107">
        <f t="shared" si="16"/>
        <v>0</v>
      </c>
      <c r="N328" s="107">
        <f t="shared" si="17"/>
        <v>1500</v>
      </c>
      <c r="O328" s="130"/>
      <c r="P328" s="112" t="s">
        <v>77</v>
      </c>
    </row>
    <row r="329" ht="22" customHeight="1" spans="1:16">
      <c r="A329" s="104">
        <v>325</v>
      </c>
      <c r="B329" s="128" t="s">
        <v>761</v>
      </c>
      <c r="C329" s="111" t="s">
        <v>762</v>
      </c>
      <c r="D329" s="111"/>
      <c r="E329" s="104" t="s">
        <v>331</v>
      </c>
      <c r="F329" s="104">
        <v>1</v>
      </c>
      <c r="G329" s="106"/>
      <c r="H329" s="106"/>
      <c r="I329" s="107">
        <v>645.825</v>
      </c>
      <c r="J329" s="107">
        <v>0</v>
      </c>
      <c r="K329" s="107">
        <v>500</v>
      </c>
      <c r="L329" s="107">
        <f t="shared" si="15"/>
        <v>645.825</v>
      </c>
      <c r="M329" s="107">
        <f t="shared" si="16"/>
        <v>0</v>
      </c>
      <c r="N329" s="107">
        <f t="shared" si="17"/>
        <v>500</v>
      </c>
      <c r="O329" s="130"/>
      <c r="P329" s="112" t="s">
        <v>77</v>
      </c>
    </row>
    <row r="330" ht="22" customHeight="1" spans="1:16">
      <c r="A330" s="104">
        <v>326</v>
      </c>
      <c r="B330" s="104">
        <v>11.2</v>
      </c>
      <c r="C330" s="121" t="s">
        <v>311</v>
      </c>
      <c r="D330" s="111"/>
      <c r="E330" s="104"/>
      <c r="F330" s="104"/>
      <c r="G330" s="106"/>
      <c r="H330" s="106"/>
      <c r="I330" s="107">
        <v>0</v>
      </c>
      <c r="J330" s="107">
        <v>0</v>
      </c>
      <c r="K330" s="107">
        <v>0</v>
      </c>
      <c r="L330" s="107">
        <f t="shared" si="15"/>
        <v>0</v>
      </c>
      <c r="M330" s="107">
        <f t="shared" si="16"/>
        <v>0</v>
      </c>
      <c r="N330" s="107">
        <f t="shared" si="17"/>
        <v>0</v>
      </c>
      <c r="O330" s="130"/>
      <c r="P330" s="112"/>
    </row>
    <row r="331" ht="60" customHeight="1" spans="1:16">
      <c r="A331" s="104">
        <v>327</v>
      </c>
      <c r="B331" s="104" t="s">
        <v>763</v>
      </c>
      <c r="C331" s="121" t="s">
        <v>764</v>
      </c>
      <c r="D331" s="111" t="s">
        <v>765</v>
      </c>
      <c r="E331" s="132" t="s">
        <v>460</v>
      </c>
      <c r="F331" s="104">
        <v>200</v>
      </c>
      <c r="G331" s="106"/>
      <c r="H331" s="106"/>
      <c r="I331" s="107">
        <v>6.196541</v>
      </c>
      <c r="J331" s="107"/>
      <c r="K331" s="107">
        <v>4</v>
      </c>
      <c r="L331" s="107">
        <f t="shared" si="15"/>
        <v>1239.3082</v>
      </c>
      <c r="M331" s="107">
        <f t="shared" si="16"/>
        <v>0</v>
      </c>
      <c r="N331" s="107">
        <f t="shared" si="17"/>
        <v>800</v>
      </c>
      <c r="O331" s="130"/>
      <c r="P331" s="139" t="s">
        <v>620</v>
      </c>
    </row>
    <row r="332" ht="22" customHeight="1" spans="1:16">
      <c r="A332" s="104">
        <v>328</v>
      </c>
      <c r="B332" s="104" t="s">
        <v>766</v>
      </c>
      <c r="C332" s="121" t="s">
        <v>767</v>
      </c>
      <c r="D332" s="111" t="s">
        <v>768</v>
      </c>
      <c r="E332" s="132" t="s">
        <v>460</v>
      </c>
      <c r="F332" s="104">
        <v>200</v>
      </c>
      <c r="G332" s="106"/>
      <c r="H332" s="106"/>
      <c r="I332" s="107">
        <v>5.75302</v>
      </c>
      <c r="J332" s="107"/>
      <c r="K332" s="107">
        <v>4</v>
      </c>
      <c r="L332" s="107">
        <f t="shared" si="15"/>
        <v>1150.604</v>
      </c>
      <c r="M332" s="107">
        <f t="shared" si="16"/>
        <v>0</v>
      </c>
      <c r="N332" s="107">
        <f t="shared" si="17"/>
        <v>800</v>
      </c>
      <c r="O332" s="130"/>
      <c r="P332" s="112" t="s">
        <v>77</v>
      </c>
    </row>
    <row r="333" ht="22" customHeight="1" spans="1:16">
      <c r="A333" s="104">
        <v>329</v>
      </c>
      <c r="B333" s="104" t="s">
        <v>769</v>
      </c>
      <c r="C333" s="115" t="s">
        <v>770</v>
      </c>
      <c r="D333" s="111"/>
      <c r="E333" s="132" t="s">
        <v>460</v>
      </c>
      <c r="F333" s="104">
        <v>500</v>
      </c>
      <c r="G333" s="106"/>
      <c r="H333" s="106"/>
      <c r="I333" s="107">
        <v>11.336</v>
      </c>
      <c r="J333" s="107">
        <v>0</v>
      </c>
      <c r="K333" s="107">
        <v>8</v>
      </c>
      <c r="L333" s="107">
        <f t="shared" si="15"/>
        <v>5668</v>
      </c>
      <c r="M333" s="107">
        <f t="shared" si="16"/>
        <v>0</v>
      </c>
      <c r="N333" s="107">
        <f t="shared" si="17"/>
        <v>4000</v>
      </c>
      <c r="O333" s="130"/>
      <c r="P333" s="112" t="s">
        <v>77</v>
      </c>
    </row>
    <row r="334" ht="22" customHeight="1" spans="1:16">
      <c r="A334" s="104">
        <v>330</v>
      </c>
      <c r="B334" s="104" t="s">
        <v>771</v>
      </c>
      <c r="C334" s="115" t="s">
        <v>772</v>
      </c>
      <c r="D334" s="111"/>
      <c r="E334" s="132" t="s">
        <v>460</v>
      </c>
      <c r="F334" s="104">
        <v>150</v>
      </c>
      <c r="G334" s="106"/>
      <c r="H334" s="106"/>
      <c r="I334" s="107">
        <v>5.668</v>
      </c>
      <c r="J334" s="107">
        <v>0</v>
      </c>
      <c r="K334" s="107">
        <v>4</v>
      </c>
      <c r="L334" s="107">
        <f t="shared" si="15"/>
        <v>850.2</v>
      </c>
      <c r="M334" s="107">
        <f t="shared" si="16"/>
        <v>0</v>
      </c>
      <c r="N334" s="107">
        <f t="shared" si="17"/>
        <v>600</v>
      </c>
      <c r="O334" s="130"/>
      <c r="P334" s="112" t="s">
        <v>77</v>
      </c>
    </row>
    <row r="335" ht="58" customHeight="1" spans="1:16">
      <c r="A335" s="104">
        <v>331</v>
      </c>
      <c r="B335" s="104" t="s">
        <v>773</v>
      </c>
      <c r="C335" s="121" t="s">
        <v>369</v>
      </c>
      <c r="D335" s="111" t="s">
        <v>345</v>
      </c>
      <c r="E335" s="116" t="s">
        <v>346</v>
      </c>
      <c r="F335" s="106">
        <v>0.259</v>
      </c>
      <c r="G335" s="106"/>
      <c r="H335" s="106"/>
      <c r="I335" s="107">
        <v>8924.38705752212</v>
      </c>
      <c r="J335" s="107">
        <v>4700</v>
      </c>
      <c r="K335" s="107">
        <v>2600</v>
      </c>
      <c r="L335" s="107">
        <f t="shared" si="15"/>
        <v>2311.41624789823</v>
      </c>
      <c r="M335" s="107">
        <f t="shared" si="16"/>
        <v>1217.3</v>
      </c>
      <c r="N335" s="107">
        <f t="shared" si="17"/>
        <v>673.4</v>
      </c>
      <c r="O335" s="130"/>
      <c r="P335" s="112" t="s">
        <v>588</v>
      </c>
    </row>
    <row r="336" ht="22" customHeight="1" spans="1:16">
      <c r="A336" s="104">
        <v>332</v>
      </c>
      <c r="B336" s="104" t="s">
        <v>774</v>
      </c>
      <c r="C336" s="131" t="s">
        <v>344</v>
      </c>
      <c r="D336" s="111" t="s">
        <v>345</v>
      </c>
      <c r="E336" s="132" t="s">
        <v>460</v>
      </c>
      <c r="F336" s="104">
        <v>100</v>
      </c>
      <c r="G336" s="106"/>
      <c r="H336" s="106"/>
      <c r="I336" s="107">
        <v>60.124592920354</v>
      </c>
      <c r="J336" s="107">
        <v>30</v>
      </c>
      <c r="K336" s="107">
        <v>20</v>
      </c>
      <c r="L336" s="107">
        <f t="shared" si="15"/>
        <v>6012.4592920354</v>
      </c>
      <c r="M336" s="107">
        <f t="shared" si="16"/>
        <v>3000</v>
      </c>
      <c r="N336" s="107">
        <f t="shared" si="17"/>
        <v>2000</v>
      </c>
      <c r="O336" s="130"/>
      <c r="P336" s="112" t="s">
        <v>77</v>
      </c>
    </row>
    <row r="337" ht="22" customHeight="1" spans="1:16">
      <c r="A337" s="104">
        <v>333</v>
      </c>
      <c r="B337" s="104" t="s">
        <v>775</v>
      </c>
      <c r="C337" s="121" t="s">
        <v>776</v>
      </c>
      <c r="D337" s="111" t="s">
        <v>333</v>
      </c>
      <c r="E337" s="132" t="s">
        <v>460</v>
      </c>
      <c r="F337" s="104">
        <v>150</v>
      </c>
      <c r="G337" s="106"/>
      <c r="H337" s="106"/>
      <c r="I337" s="107">
        <v>39.2524433628319</v>
      </c>
      <c r="J337" s="107">
        <v>14</v>
      </c>
      <c r="K337" s="107">
        <v>18</v>
      </c>
      <c r="L337" s="107">
        <f t="shared" si="15"/>
        <v>5887.86650442478</v>
      </c>
      <c r="M337" s="107">
        <f t="shared" si="16"/>
        <v>2100</v>
      </c>
      <c r="N337" s="107">
        <f t="shared" si="17"/>
        <v>2700</v>
      </c>
      <c r="O337" s="130"/>
      <c r="P337" s="112" t="s">
        <v>77</v>
      </c>
    </row>
    <row r="338" ht="22" customHeight="1" spans="1:16">
      <c r="A338" s="104">
        <v>334</v>
      </c>
      <c r="B338" s="104">
        <v>12</v>
      </c>
      <c r="C338" s="121" t="s">
        <v>777</v>
      </c>
      <c r="D338" s="111"/>
      <c r="E338" s="104"/>
      <c r="F338" s="104"/>
      <c r="G338" s="106"/>
      <c r="H338" s="106"/>
      <c r="I338" s="107">
        <v>0</v>
      </c>
      <c r="J338" s="107">
        <v>0</v>
      </c>
      <c r="K338" s="107">
        <v>0</v>
      </c>
      <c r="L338" s="107">
        <f>SUM(L339:L355)</f>
        <v>19043.1904115469</v>
      </c>
      <c r="M338" s="107">
        <f>SUM(M339:M355)</f>
        <v>1602</v>
      </c>
      <c r="N338" s="107">
        <f>SUM(N339:N355)</f>
        <v>13124</v>
      </c>
      <c r="O338" s="130"/>
      <c r="P338" s="112"/>
    </row>
    <row r="339" ht="22" customHeight="1" spans="1:16">
      <c r="A339" s="104">
        <v>335</v>
      </c>
      <c r="B339" s="128" t="s">
        <v>778</v>
      </c>
      <c r="C339" s="111" t="s">
        <v>319</v>
      </c>
      <c r="D339" s="111"/>
      <c r="E339" s="116"/>
      <c r="F339" s="104"/>
      <c r="G339" s="106"/>
      <c r="H339" s="106"/>
      <c r="I339" s="107">
        <v>0</v>
      </c>
      <c r="J339" s="107">
        <v>0</v>
      </c>
      <c r="K339" s="107">
        <v>0</v>
      </c>
      <c r="L339" s="107">
        <f t="shared" si="15"/>
        <v>0</v>
      </c>
      <c r="M339" s="107">
        <f t="shared" si="16"/>
        <v>0</v>
      </c>
      <c r="N339" s="107">
        <f t="shared" si="17"/>
        <v>0</v>
      </c>
      <c r="O339" s="129"/>
      <c r="P339" s="112"/>
    </row>
    <row r="340" ht="70" customHeight="1" spans="1:16">
      <c r="A340" s="104">
        <v>336</v>
      </c>
      <c r="B340" s="128" t="s">
        <v>779</v>
      </c>
      <c r="C340" s="111" t="s">
        <v>780</v>
      </c>
      <c r="D340" s="111"/>
      <c r="E340" s="116" t="s">
        <v>331</v>
      </c>
      <c r="F340" s="104">
        <v>1</v>
      </c>
      <c r="G340" s="106"/>
      <c r="H340" s="106"/>
      <c r="I340" s="107">
        <v>645.825</v>
      </c>
      <c r="J340" s="107">
        <v>0</v>
      </c>
      <c r="K340" s="107">
        <v>500</v>
      </c>
      <c r="L340" s="107">
        <f t="shared" si="15"/>
        <v>645.825</v>
      </c>
      <c r="M340" s="107">
        <f t="shared" si="16"/>
        <v>0</v>
      </c>
      <c r="N340" s="107">
        <f t="shared" si="17"/>
        <v>500</v>
      </c>
      <c r="O340" s="129"/>
      <c r="P340" s="112" t="s">
        <v>434</v>
      </c>
    </row>
    <row r="341" ht="22" customHeight="1" spans="1:16">
      <c r="A341" s="104">
        <v>337</v>
      </c>
      <c r="B341" s="128" t="s">
        <v>781</v>
      </c>
      <c r="C341" s="111" t="s">
        <v>782</v>
      </c>
      <c r="D341" s="111"/>
      <c r="E341" s="116" t="s">
        <v>331</v>
      </c>
      <c r="F341" s="104">
        <v>1</v>
      </c>
      <c r="G341" s="106"/>
      <c r="H341" s="106"/>
      <c r="I341" s="107">
        <v>645.825</v>
      </c>
      <c r="J341" s="107">
        <v>0</v>
      </c>
      <c r="K341" s="107">
        <v>500</v>
      </c>
      <c r="L341" s="107">
        <f t="shared" si="15"/>
        <v>645.825</v>
      </c>
      <c r="M341" s="107">
        <f t="shared" si="16"/>
        <v>0</v>
      </c>
      <c r="N341" s="107">
        <f t="shared" si="17"/>
        <v>500</v>
      </c>
      <c r="O341" s="129"/>
      <c r="P341" s="112" t="s">
        <v>77</v>
      </c>
    </row>
    <row r="342" ht="22" customHeight="1" spans="1:16">
      <c r="A342" s="104">
        <v>338</v>
      </c>
      <c r="B342" s="128" t="s">
        <v>783</v>
      </c>
      <c r="C342" s="111" t="s">
        <v>784</v>
      </c>
      <c r="D342" s="111"/>
      <c r="E342" s="116" t="s">
        <v>331</v>
      </c>
      <c r="F342" s="104">
        <v>1</v>
      </c>
      <c r="G342" s="106"/>
      <c r="H342" s="106"/>
      <c r="I342" s="107">
        <v>645.825</v>
      </c>
      <c r="J342" s="107">
        <v>0</v>
      </c>
      <c r="K342" s="107">
        <v>500</v>
      </c>
      <c r="L342" s="107">
        <f t="shared" si="15"/>
        <v>645.825</v>
      </c>
      <c r="M342" s="107">
        <f t="shared" si="16"/>
        <v>0</v>
      </c>
      <c r="N342" s="107">
        <f t="shared" si="17"/>
        <v>500</v>
      </c>
      <c r="O342" s="129"/>
      <c r="P342" s="112" t="s">
        <v>77</v>
      </c>
    </row>
    <row r="343" ht="22" customHeight="1" spans="1:16">
      <c r="A343" s="104">
        <v>339</v>
      </c>
      <c r="B343" s="128" t="s">
        <v>785</v>
      </c>
      <c r="C343" s="111" t="s">
        <v>786</v>
      </c>
      <c r="D343" s="111"/>
      <c r="E343" s="116" t="s">
        <v>331</v>
      </c>
      <c r="F343" s="104">
        <v>1</v>
      </c>
      <c r="G343" s="106"/>
      <c r="H343" s="106"/>
      <c r="I343" s="107">
        <v>645.825</v>
      </c>
      <c r="J343" s="107">
        <v>0</v>
      </c>
      <c r="K343" s="107">
        <v>500</v>
      </c>
      <c r="L343" s="107">
        <f t="shared" si="15"/>
        <v>645.825</v>
      </c>
      <c r="M343" s="107">
        <f t="shared" si="16"/>
        <v>0</v>
      </c>
      <c r="N343" s="107">
        <f t="shared" si="17"/>
        <v>500</v>
      </c>
      <c r="O343" s="129"/>
      <c r="P343" s="112" t="s">
        <v>77</v>
      </c>
    </row>
    <row r="344" ht="22" customHeight="1" spans="1:16">
      <c r="A344" s="104">
        <v>340</v>
      </c>
      <c r="B344" s="128" t="s">
        <v>787</v>
      </c>
      <c r="C344" s="111" t="s">
        <v>788</v>
      </c>
      <c r="D344" s="111" t="s">
        <v>789</v>
      </c>
      <c r="E344" s="116" t="s">
        <v>331</v>
      </c>
      <c r="F344" s="104">
        <v>1</v>
      </c>
      <c r="G344" s="106"/>
      <c r="H344" s="106"/>
      <c r="I344" s="107">
        <v>645.825</v>
      </c>
      <c r="J344" s="107">
        <v>0</v>
      </c>
      <c r="K344" s="107">
        <v>500</v>
      </c>
      <c r="L344" s="107">
        <f t="shared" si="15"/>
        <v>645.825</v>
      </c>
      <c r="M344" s="107">
        <f t="shared" si="16"/>
        <v>0</v>
      </c>
      <c r="N344" s="107">
        <f t="shared" si="17"/>
        <v>500</v>
      </c>
      <c r="O344" s="129"/>
      <c r="P344" s="112" t="s">
        <v>77</v>
      </c>
    </row>
    <row r="345" ht="22" customHeight="1" spans="1:16">
      <c r="A345" s="104">
        <v>341</v>
      </c>
      <c r="B345" s="128" t="s">
        <v>790</v>
      </c>
      <c r="C345" s="111" t="s">
        <v>791</v>
      </c>
      <c r="D345" s="111" t="s">
        <v>792</v>
      </c>
      <c r="E345" s="116" t="s">
        <v>331</v>
      </c>
      <c r="F345" s="104">
        <v>1</v>
      </c>
      <c r="G345" s="106"/>
      <c r="H345" s="106"/>
      <c r="I345" s="107">
        <v>387.495</v>
      </c>
      <c r="J345" s="107">
        <v>0</v>
      </c>
      <c r="K345" s="107">
        <v>300</v>
      </c>
      <c r="L345" s="107">
        <f t="shared" si="15"/>
        <v>387.495</v>
      </c>
      <c r="M345" s="107">
        <f t="shared" si="16"/>
        <v>0</v>
      </c>
      <c r="N345" s="107">
        <f t="shared" si="17"/>
        <v>300</v>
      </c>
      <c r="O345" s="129"/>
      <c r="P345" s="112" t="s">
        <v>77</v>
      </c>
    </row>
    <row r="346" ht="22" customHeight="1" spans="1:16">
      <c r="A346" s="104">
        <v>342</v>
      </c>
      <c r="B346" s="128" t="s">
        <v>793</v>
      </c>
      <c r="C346" s="111" t="s">
        <v>794</v>
      </c>
      <c r="D346" s="111" t="s">
        <v>795</v>
      </c>
      <c r="E346" s="116" t="s">
        <v>296</v>
      </c>
      <c r="F346" s="104">
        <v>1</v>
      </c>
      <c r="G346" s="106"/>
      <c r="H346" s="106"/>
      <c r="I346" s="107">
        <v>645.825</v>
      </c>
      <c r="J346" s="107">
        <v>0</v>
      </c>
      <c r="K346" s="107">
        <v>500</v>
      </c>
      <c r="L346" s="107">
        <f t="shared" si="15"/>
        <v>645.825</v>
      </c>
      <c r="M346" s="107">
        <f t="shared" si="16"/>
        <v>0</v>
      </c>
      <c r="N346" s="107">
        <f t="shared" si="17"/>
        <v>500</v>
      </c>
      <c r="O346" s="129"/>
      <c r="P346" s="112" t="s">
        <v>77</v>
      </c>
    </row>
    <row r="347" ht="22" customHeight="1" spans="1:16">
      <c r="A347" s="104">
        <v>343</v>
      </c>
      <c r="B347" s="128" t="s">
        <v>796</v>
      </c>
      <c r="C347" s="111" t="s">
        <v>797</v>
      </c>
      <c r="D347" s="111" t="s">
        <v>798</v>
      </c>
      <c r="E347" s="116" t="s">
        <v>296</v>
      </c>
      <c r="F347" s="104">
        <v>4</v>
      </c>
      <c r="G347" s="106"/>
      <c r="H347" s="106"/>
      <c r="I347" s="107">
        <v>387.495</v>
      </c>
      <c r="J347" s="107">
        <v>0</v>
      </c>
      <c r="K347" s="107">
        <v>300</v>
      </c>
      <c r="L347" s="107">
        <f t="shared" si="15"/>
        <v>1549.98</v>
      </c>
      <c r="M347" s="107">
        <f t="shared" si="16"/>
        <v>0</v>
      </c>
      <c r="N347" s="107">
        <f t="shared" si="17"/>
        <v>1200</v>
      </c>
      <c r="O347" s="129"/>
      <c r="P347" s="112" t="s">
        <v>77</v>
      </c>
    </row>
    <row r="348" ht="33" customHeight="1" spans="1:16">
      <c r="A348" s="104">
        <v>344</v>
      </c>
      <c r="B348" s="128" t="s">
        <v>799</v>
      </c>
      <c r="C348" s="111" t="s">
        <v>800</v>
      </c>
      <c r="D348" s="115" t="s">
        <v>801</v>
      </c>
      <c r="E348" s="116" t="s">
        <v>296</v>
      </c>
      <c r="F348" s="104">
        <v>32</v>
      </c>
      <c r="G348" s="106"/>
      <c r="H348" s="106"/>
      <c r="I348" s="107">
        <v>258.33</v>
      </c>
      <c r="J348" s="107">
        <v>0</v>
      </c>
      <c r="K348" s="107">
        <v>200</v>
      </c>
      <c r="L348" s="107">
        <f t="shared" si="15"/>
        <v>8266.56</v>
      </c>
      <c r="M348" s="107">
        <f t="shared" si="16"/>
        <v>0</v>
      </c>
      <c r="N348" s="107">
        <f t="shared" si="17"/>
        <v>6400</v>
      </c>
      <c r="O348" s="129"/>
      <c r="P348" s="112" t="s">
        <v>77</v>
      </c>
    </row>
    <row r="349" ht="22" customHeight="1" spans="1:16">
      <c r="A349" s="104">
        <v>345</v>
      </c>
      <c r="B349" s="133">
        <v>12.2</v>
      </c>
      <c r="C349" s="121" t="s">
        <v>311</v>
      </c>
      <c r="D349" s="111"/>
      <c r="E349" s="116"/>
      <c r="F349" s="104"/>
      <c r="G349" s="106"/>
      <c r="H349" s="106"/>
      <c r="I349" s="107">
        <v>0</v>
      </c>
      <c r="J349" s="107">
        <v>0</v>
      </c>
      <c r="K349" s="107">
        <v>0</v>
      </c>
      <c r="L349" s="107">
        <f t="shared" si="15"/>
        <v>0</v>
      </c>
      <c r="M349" s="107">
        <f t="shared" si="16"/>
        <v>0</v>
      </c>
      <c r="N349" s="107">
        <f t="shared" si="17"/>
        <v>0</v>
      </c>
      <c r="O349" s="129"/>
      <c r="P349" s="112"/>
    </row>
    <row r="350" ht="65" customHeight="1" spans="1:16">
      <c r="A350" s="104">
        <v>346</v>
      </c>
      <c r="B350" s="157" t="s">
        <v>802</v>
      </c>
      <c r="C350" s="111" t="s">
        <v>369</v>
      </c>
      <c r="D350" s="111" t="s">
        <v>345</v>
      </c>
      <c r="E350" s="116" t="s">
        <v>346</v>
      </c>
      <c r="F350" s="151">
        <v>0.16</v>
      </c>
      <c r="G350" s="106"/>
      <c r="H350" s="106"/>
      <c r="I350" s="107">
        <v>8924.38705752212</v>
      </c>
      <c r="J350" s="107">
        <v>4700</v>
      </c>
      <c r="K350" s="107">
        <v>2600</v>
      </c>
      <c r="L350" s="107">
        <f t="shared" si="15"/>
        <v>1427.90192920354</v>
      </c>
      <c r="M350" s="107">
        <f t="shared" si="16"/>
        <v>752</v>
      </c>
      <c r="N350" s="107">
        <f t="shared" si="17"/>
        <v>416</v>
      </c>
      <c r="O350" s="129"/>
      <c r="P350" s="112" t="s">
        <v>588</v>
      </c>
    </row>
    <row r="351" ht="22" customHeight="1" spans="1:16">
      <c r="A351" s="104">
        <v>347</v>
      </c>
      <c r="B351" s="157" t="s">
        <v>803</v>
      </c>
      <c r="C351" s="111" t="s">
        <v>804</v>
      </c>
      <c r="D351" s="111" t="s">
        <v>805</v>
      </c>
      <c r="E351" s="132" t="s">
        <v>460</v>
      </c>
      <c r="F351" s="105">
        <v>30</v>
      </c>
      <c r="G351" s="106"/>
      <c r="H351" s="106"/>
      <c r="I351" s="107">
        <v>29.3193119469027</v>
      </c>
      <c r="J351" s="107">
        <v>20</v>
      </c>
      <c r="K351" s="107">
        <v>5</v>
      </c>
      <c r="L351" s="107">
        <f t="shared" si="15"/>
        <v>879.579358407081</v>
      </c>
      <c r="M351" s="107">
        <f t="shared" si="16"/>
        <v>600</v>
      </c>
      <c r="N351" s="107">
        <f t="shared" si="17"/>
        <v>150</v>
      </c>
      <c r="O351" s="129"/>
      <c r="P351" s="112" t="s">
        <v>77</v>
      </c>
    </row>
    <row r="352" ht="33" customHeight="1" spans="1:16">
      <c r="A352" s="104">
        <v>348</v>
      </c>
      <c r="B352" s="157" t="s">
        <v>806</v>
      </c>
      <c r="C352" s="111" t="s">
        <v>807</v>
      </c>
      <c r="D352" s="111" t="s">
        <v>808</v>
      </c>
      <c r="E352" s="118" t="s">
        <v>72</v>
      </c>
      <c r="F352" s="151">
        <v>1</v>
      </c>
      <c r="G352" s="106"/>
      <c r="H352" s="106"/>
      <c r="I352" s="107">
        <v>350.345774336283</v>
      </c>
      <c r="J352" s="107">
        <v>250</v>
      </c>
      <c r="K352" s="107">
        <v>50</v>
      </c>
      <c r="L352" s="107">
        <f t="shared" si="15"/>
        <v>350.345774336283</v>
      </c>
      <c r="M352" s="107">
        <f t="shared" si="16"/>
        <v>250</v>
      </c>
      <c r="N352" s="107">
        <f t="shared" si="17"/>
        <v>50</v>
      </c>
      <c r="O352" s="129"/>
      <c r="P352" s="112" t="s">
        <v>95</v>
      </c>
    </row>
    <row r="353" ht="59" customHeight="1" spans="1:16">
      <c r="A353" s="104">
        <v>349</v>
      </c>
      <c r="B353" s="157" t="s">
        <v>809</v>
      </c>
      <c r="C353" s="111" t="s">
        <v>810</v>
      </c>
      <c r="D353" s="111" t="s">
        <v>811</v>
      </c>
      <c r="E353" s="132" t="s">
        <v>460</v>
      </c>
      <c r="F353" s="105">
        <v>160</v>
      </c>
      <c r="G353" s="106"/>
      <c r="H353" s="106"/>
      <c r="I353" s="107">
        <v>11.43519</v>
      </c>
      <c r="J353" s="107"/>
      <c r="K353" s="107">
        <v>8</v>
      </c>
      <c r="L353" s="107">
        <f t="shared" si="15"/>
        <v>1829.6304</v>
      </c>
      <c r="M353" s="107">
        <f t="shared" si="16"/>
        <v>0</v>
      </c>
      <c r="N353" s="107">
        <f t="shared" si="17"/>
        <v>1280</v>
      </c>
      <c r="O353" s="129"/>
      <c r="P353" s="139" t="s">
        <v>620</v>
      </c>
    </row>
    <row r="354" ht="22" customHeight="1" spans="1:16">
      <c r="A354" s="104">
        <v>350</v>
      </c>
      <c r="B354" s="157" t="s">
        <v>812</v>
      </c>
      <c r="C354" s="111" t="s">
        <v>813</v>
      </c>
      <c r="D354" s="111" t="s">
        <v>814</v>
      </c>
      <c r="E354" s="132" t="s">
        <v>460</v>
      </c>
      <c r="F354" s="105">
        <v>80</v>
      </c>
      <c r="G354" s="106"/>
      <c r="H354" s="106"/>
      <c r="I354" s="107">
        <v>5.815368</v>
      </c>
      <c r="J354" s="107"/>
      <c r="K354" s="107">
        <v>4</v>
      </c>
      <c r="L354" s="107">
        <f t="shared" si="15"/>
        <v>465.22944</v>
      </c>
      <c r="M354" s="107">
        <f t="shared" si="16"/>
        <v>0</v>
      </c>
      <c r="N354" s="107">
        <f t="shared" si="17"/>
        <v>320</v>
      </c>
      <c r="O354" s="129"/>
      <c r="P354" s="112" t="s">
        <v>77</v>
      </c>
    </row>
    <row r="355" ht="22" customHeight="1" spans="1:16">
      <c r="A355" s="104">
        <v>351</v>
      </c>
      <c r="B355" s="157" t="s">
        <v>815</v>
      </c>
      <c r="C355" s="111" t="s">
        <v>816</v>
      </c>
      <c r="D355" s="111" t="s">
        <v>817</v>
      </c>
      <c r="E355" s="132" t="s">
        <v>460</v>
      </c>
      <c r="F355" s="105">
        <v>2</v>
      </c>
      <c r="G355" s="106"/>
      <c r="H355" s="106"/>
      <c r="I355" s="107">
        <v>5.7592548</v>
      </c>
      <c r="J355" s="107"/>
      <c r="K355" s="107">
        <v>4</v>
      </c>
      <c r="L355" s="107">
        <f t="shared" si="15"/>
        <v>11.5185096</v>
      </c>
      <c r="M355" s="107">
        <f t="shared" si="16"/>
        <v>0</v>
      </c>
      <c r="N355" s="107">
        <f t="shared" si="17"/>
        <v>8</v>
      </c>
      <c r="O355" s="129"/>
      <c r="P355" s="112" t="s">
        <v>77</v>
      </c>
    </row>
    <row r="356" ht="22" customHeight="1" spans="1:16">
      <c r="A356" s="104">
        <v>352</v>
      </c>
      <c r="B356" s="133">
        <v>13</v>
      </c>
      <c r="C356" s="111" t="s">
        <v>818</v>
      </c>
      <c r="D356" s="111"/>
      <c r="E356" s="104"/>
      <c r="F356" s="104"/>
      <c r="G356" s="106"/>
      <c r="H356" s="106"/>
      <c r="I356" s="107">
        <v>0</v>
      </c>
      <c r="J356" s="107">
        <v>0</v>
      </c>
      <c r="K356" s="107">
        <v>0</v>
      </c>
      <c r="L356" s="107">
        <f>SUM(L357:L376)</f>
        <v>219302.282535221</v>
      </c>
      <c r="M356" s="107">
        <f>SUM(M357:M376)</f>
        <v>25756</v>
      </c>
      <c r="N356" s="107">
        <f>SUM(N357:N376)</f>
        <v>136668</v>
      </c>
      <c r="O356" s="158"/>
      <c r="P356" s="112"/>
    </row>
    <row r="357" ht="22" customHeight="1" spans="1:16">
      <c r="A357" s="104">
        <v>353</v>
      </c>
      <c r="B357" s="128" t="s">
        <v>819</v>
      </c>
      <c r="C357" s="111" t="s">
        <v>319</v>
      </c>
      <c r="D357" s="111"/>
      <c r="E357" s="104"/>
      <c r="F357" s="104"/>
      <c r="G357" s="106"/>
      <c r="H357" s="106"/>
      <c r="I357" s="107">
        <v>0</v>
      </c>
      <c r="J357" s="107">
        <v>0</v>
      </c>
      <c r="K357" s="107">
        <v>0</v>
      </c>
      <c r="L357" s="107">
        <f t="shared" si="15"/>
        <v>0</v>
      </c>
      <c r="M357" s="107">
        <f t="shared" si="16"/>
        <v>0</v>
      </c>
      <c r="N357" s="107">
        <f t="shared" si="17"/>
        <v>0</v>
      </c>
      <c r="O357" s="158"/>
      <c r="P357" s="112"/>
    </row>
    <row r="358" ht="70" customHeight="1" spans="1:16">
      <c r="A358" s="104">
        <v>354</v>
      </c>
      <c r="B358" s="128" t="s">
        <v>820</v>
      </c>
      <c r="C358" s="111" t="s">
        <v>821</v>
      </c>
      <c r="D358" s="115" t="s">
        <v>822</v>
      </c>
      <c r="E358" s="132" t="s">
        <v>229</v>
      </c>
      <c r="F358" s="104">
        <v>1</v>
      </c>
      <c r="G358" s="106"/>
      <c r="H358" s="106"/>
      <c r="I358" s="107">
        <v>387.495</v>
      </c>
      <c r="J358" s="107">
        <v>0</v>
      </c>
      <c r="K358" s="107">
        <v>300</v>
      </c>
      <c r="L358" s="107">
        <f t="shared" si="15"/>
        <v>387.495</v>
      </c>
      <c r="M358" s="107">
        <f t="shared" si="16"/>
        <v>0</v>
      </c>
      <c r="N358" s="107">
        <f t="shared" si="17"/>
        <v>300</v>
      </c>
      <c r="O358" s="158"/>
      <c r="P358" s="112" t="s">
        <v>434</v>
      </c>
    </row>
    <row r="359" ht="65" customHeight="1" spans="1:16">
      <c r="A359" s="104">
        <v>355</v>
      </c>
      <c r="B359" s="128" t="s">
        <v>823</v>
      </c>
      <c r="C359" s="115" t="s">
        <v>824</v>
      </c>
      <c r="D359" s="115" t="s">
        <v>825</v>
      </c>
      <c r="E359" s="105" t="s">
        <v>296</v>
      </c>
      <c r="F359" s="105">
        <v>1</v>
      </c>
      <c r="G359" s="106"/>
      <c r="H359" s="106"/>
      <c r="I359" s="107">
        <v>25833</v>
      </c>
      <c r="J359" s="107">
        <v>0</v>
      </c>
      <c r="K359" s="107">
        <v>20000</v>
      </c>
      <c r="L359" s="107">
        <f t="shared" si="15"/>
        <v>25833</v>
      </c>
      <c r="M359" s="107">
        <f t="shared" si="16"/>
        <v>0</v>
      </c>
      <c r="N359" s="107">
        <f t="shared" si="17"/>
        <v>20000</v>
      </c>
      <c r="O359" s="158"/>
      <c r="P359" s="112" t="s">
        <v>434</v>
      </c>
    </row>
    <row r="360" ht="71" customHeight="1" spans="1:16">
      <c r="A360" s="104">
        <v>356</v>
      </c>
      <c r="B360" s="128" t="s">
        <v>826</v>
      </c>
      <c r="C360" s="111" t="s">
        <v>827</v>
      </c>
      <c r="D360" s="115" t="s">
        <v>828</v>
      </c>
      <c r="E360" s="105" t="s">
        <v>296</v>
      </c>
      <c r="F360" s="105">
        <v>1</v>
      </c>
      <c r="G360" s="106"/>
      <c r="H360" s="106"/>
      <c r="I360" s="107">
        <v>6458.25</v>
      </c>
      <c r="J360" s="107">
        <v>0</v>
      </c>
      <c r="K360" s="107">
        <v>5000</v>
      </c>
      <c r="L360" s="107">
        <f t="shared" si="15"/>
        <v>6458.25</v>
      </c>
      <c r="M360" s="107">
        <f t="shared" si="16"/>
        <v>0</v>
      </c>
      <c r="N360" s="107">
        <f t="shared" si="17"/>
        <v>5000</v>
      </c>
      <c r="O360" s="158"/>
      <c r="P360" s="112" t="s">
        <v>434</v>
      </c>
    </row>
    <row r="361" ht="73" customHeight="1" spans="1:16">
      <c r="A361" s="104">
        <v>357</v>
      </c>
      <c r="B361" s="128" t="s">
        <v>829</v>
      </c>
      <c r="C361" s="111" t="s">
        <v>830</v>
      </c>
      <c r="D361" s="111" t="s">
        <v>831</v>
      </c>
      <c r="E361" s="159" t="s">
        <v>229</v>
      </c>
      <c r="F361" s="105">
        <v>1</v>
      </c>
      <c r="G361" s="106"/>
      <c r="H361" s="106"/>
      <c r="I361" s="107">
        <v>12916.5</v>
      </c>
      <c r="J361" s="107">
        <v>0</v>
      </c>
      <c r="K361" s="107">
        <v>10000</v>
      </c>
      <c r="L361" s="107">
        <f t="shared" si="15"/>
        <v>12916.5</v>
      </c>
      <c r="M361" s="107">
        <f t="shared" si="16"/>
        <v>0</v>
      </c>
      <c r="N361" s="107">
        <f t="shared" si="17"/>
        <v>10000</v>
      </c>
      <c r="O361" s="129"/>
      <c r="P361" s="112" t="s">
        <v>832</v>
      </c>
    </row>
    <row r="362" ht="22" customHeight="1" spans="1:16">
      <c r="A362" s="104">
        <v>358</v>
      </c>
      <c r="B362" s="133">
        <v>13.2</v>
      </c>
      <c r="C362" s="121" t="s">
        <v>311</v>
      </c>
      <c r="D362" s="111"/>
      <c r="E362" s="105"/>
      <c r="F362" s="105"/>
      <c r="G362" s="106"/>
      <c r="H362" s="106"/>
      <c r="I362" s="107">
        <v>0</v>
      </c>
      <c r="J362" s="107">
        <v>0</v>
      </c>
      <c r="K362" s="107">
        <v>0</v>
      </c>
      <c r="L362" s="107">
        <f t="shared" si="15"/>
        <v>0</v>
      </c>
      <c r="M362" s="107">
        <f t="shared" si="16"/>
        <v>0</v>
      </c>
      <c r="N362" s="107">
        <f t="shared" si="17"/>
        <v>0</v>
      </c>
      <c r="O362" s="129"/>
      <c r="P362" s="112"/>
    </row>
    <row r="363" ht="63" customHeight="1" spans="1:16">
      <c r="A363" s="104">
        <v>359</v>
      </c>
      <c r="B363" s="128" t="s">
        <v>833</v>
      </c>
      <c r="C363" s="111" t="s">
        <v>834</v>
      </c>
      <c r="D363" s="111" t="s">
        <v>835</v>
      </c>
      <c r="E363" s="132" t="s">
        <v>460</v>
      </c>
      <c r="F363" s="105">
        <v>1000</v>
      </c>
      <c r="G363" s="106"/>
      <c r="H363" s="106"/>
      <c r="I363" s="107">
        <v>5.75302</v>
      </c>
      <c r="J363" s="107"/>
      <c r="K363" s="107">
        <v>4</v>
      </c>
      <c r="L363" s="107">
        <f t="shared" si="15"/>
        <v>5753.02</v>
      </c>
      <c r="M363" s="107">
        <f t="shared" si="16"/>
        <v>0</v>
      </c>
      <c r="N363" s="107">
        <f t="shared" si="17"/>
        <v>4000</v>
      </c>
      <c r="O363" s="129"/>
      <c r="P363" s="139" t="s">
        <v>620</v>
      </c>
    </row>
    <row r="364" ht="22" customHeight="1" spans="1:16">
      <c r="A364" s="104">
        <v>360</v>
      </c>
      <c r="B364" s="128" t="s">
        <v>836</v>
      </c>
      <c r="C364" s="111" t="s">
        <v>837</v>
      </c>
      <c r="D364" s="111" t="s">
        <v>838</v>
      </c>
      <c r="E364" s="132" t="s">
        <v>460</v>
      </c>
      <c r="F364" s="105">
        <v>1600</v>
      </c>
      <c r="G364" s="106"/>
      <c r="H364" s="106"/>
      <c r="I364" s="107">
        <v>5.721846</v>
      </c>
      <c r="J364" s="107"/>
      <c r="K364" s="107">
        <v>4</v>
      </c>
      <c r="L364" s="107">
        <f t="shared" si="15"/>
        <v>9154.9536</v>
      </c>
      <c r="M364" s="107">
        <f t="shared" si="16"/>
        <v>0</v>
      </c>
      <c r="N364" s="107">
        <f t="shared" si="17"/>
        <v>6400</v>
      </c>
      <c r="O364" s="129"/>
      <c r="P364" s="112" t="s">
        <v>77</v>
      </c>
    </row>
    <row r="365" ht="22" customHeight="1" spans="1:16">
      <c r="A365" s="104">
        <v>361</v>
      </c>
      <c r="B365" s="128" t="s">
        <v>839</v>
      </c>
      <c r="C365" s="111" t="s">
        <v>840</v>
      </c>
      <c r="D365" s="111" t="s">
        <v>841</v>
      </c>
      <c r="E365" s="132" t="s">
        <v>460</v>
      </c>
      <c r="F365" s="105">
        <v>4000</v>
      </c>
      <c r="G365" s="106"/>
      <c r="H365" s="106"/>
      <c r="I365" s="107">
        <v>11.3539959</v>
      </c>
      <c r="J365" s="107"/>
      <c r="K365" s="107">
        <v>8</v>
      </c>
      <c r="L365" s="107">
        <f t="shared" si="15"/>
        <v>45415.9836</v>
      </c>
      <c r="M365" s="107">
        <f t="shared" si="16"/>
        <v>0</v>
      </c>
      <c r="N365" s="107">
        <f t="shared" si="17"/>
        <v>32000</v>
      </c>
      <c r="O365" s="129"/>
      <c r="P365" s="112" t="s">
        <v>77</v>
      </c>
    </row>
    <row r="366" ht="22" customHeight="1" spans="1:16">
      <c r="A366" s="104">
        <v>362</v>
      </c>
      <c r="B366" s="128" t="s">
        <v>842</v>
      </c>
      <c r="C366" s="111" t="s">
        <v>840</v>
      </c>
      <c r="D366" s="111" t="s">
        <v>843</v>
      </c>
      <c r="E366" s="132" t="s">
        <v>460</v>
      </c>
      <c r="F366" s="105">
        <v>1000</v>
      </c>
      <c r="G366" s="106"/>
      <c r="H366" s="106"/>
      <c r="I366" s="107">
        <v>11.3739756</v>
      </c>
      <c r="J366" s="107"/>
      <c r="K366" s="107">
        <v>8</v>
      </c>
      <c r="L366" s="107">
        <f t="shared" si="15"/>
        <v>11373.9756</v>
      </c>
      <c r="M366" s="107">
        <f t="shared" si="16"/>
        <v>0</v>
      </c>
      <c r="N366" s="107">
        <f t="shared" si="17"/>
        <v>8000</v>
      </c>
      <c r="O366" s="129"/>
      <c r="P366" s="112" t="s">
        <v>77</v>
      </c>
    </row>
    <row r="367" ht="22" customHeight="1" spans="1:16">
      <c r="A367" s="104">
        <v>363</v>
      </c>
      <c r="B367" s="128" t="s">
        <v>844</v>
      </c>
      <c r="C367" s="111" t="s">
        <v>845</v>
      </c>
      <c r="D367" s="111" t="s">
        <v>846</v>
      </c>
      <c r="E367" s="105" t="s">
        <v>847</v>
      </c>
      <c r="F367" s="105">
        <v>20</v>
      </c>
      <c r="G367" s="106"/>
      <c r="H367" s="106"/>
      <c r="I367" s="107">
        <v>11.80361</v>
      </c>
      <c r="J367" s="107"/>
      <c r="K367" s="107">
        <v>8</v>
      </c>
      <c r="L367" s="107">
        <f t="shared" si="15"/>
        <v>236.0722</v>
      </c>
      <c r="M367" s="107">
        <f t="shared" si="16"/>
        <v>0</v>
      </c>
      <c r="N367" s="107">
        <f t="shared" si="17"/>
        <v>160</v>
      </c>
      <c r="O367" s="129"/>
      <c r="P367" s="112" t="s">
        <v>77</v>
      </c>
    </row>
    <row r="368" ht="22" customHeight="1" spans="1:16">
      <c r="A368" s="104">
        <v>364</v>
      </c>
      <c r="B368" s="128" t="s">
        <v>848</v>
      </c>
      <c r="C368" s="111" t="s">
        <v>849</v>
      </c>
      <c r="D368" s="111" t="s">
        <v>850</v>
      </c>
      <c r="E368" s="105" t="s">
        <v>847</v>
      </c>
      <c r="F368" s="105">
        <v>20</v>
      </c>
      <c r="G368" s="106"/>
      <c r="H368" s="106"/>
      <c r="I368" s="107">
        <v>11.54855</v>
      </c>
      <c r="J368" s="107"/>
      <c r="K368" s="107">
        <v>8</v>
      </c>
      <c r="L368" s="107">
        <f t="shared" si="15"/>
        <v>230.971</v>
      </c>
      <c r="M368" s="107">
        <f t="shared" si="16"/>
        <v>0</v>
      </c>
      <c r="N368" s="107">
        <f t="shared" si="17"/>
        <v>160</v>
      </c>
      <c r="O368" s="129"/>
      <c r="P368" s="112" t="s">
        <v>77</v>
      </c>
    </row>
    <row r="369" ht="22" customHeight="1" spans="1:16">
      <c r="A369" s="104">
        <v>365</v>
      </c>
      <c r="B369" s="128" t="s">
        <v>851</v>
      </c>
      <c r="C369" s="111" t="s">
        <v>852</v>
      </c>
      <c r="D369" s="111" t="s">
        <v>853</v>
      </c>
      <c r="E369" s="132" t="s">
        <v>460</v>
      </c>
      <c r="F369" s="105">
        <v>500</v>
      </c>
      <c r="G369" s="106"/>
      <c r="H369" s="106"/>
      <c r="I369" s="107">
        <v>5.7613803</v>
      </c>
      <c r="J369" s="107"/>
      <c r="K369" s="107">
        <v>4</v>
      </c>
      <c r="L369" s="107">
        <f t="shared" si="15"/>
        <v>2880.69015</v>
      </c>
      <c r="M369" s="107">
        <f t="shared" si="16"/>
        <v>0</v>
      </c>
      <c r="N369" s="107">
        <f t="shared" si="17"/>
        <v>2000</v>
      </c>
      <c r="O369" s="129"/>
      <c r="P369" s="112" t="s">
        <v>77</v>
      </c>
    </row>
    <row r="370" ht="22" customHeight="1" spans="1:16">
      <c r="A370" s="104">
        <v>366</v>
      </c>
      <c r="B370" s="128" t="s">
        <v>854</v>
      </c>
      <c r="C370" s="111" t="s">
        <v>855</v>
      </c>
      <c r="D370" s="111" t="s">
        <v>856</v>
      </c>
      <c r="E370" s="132" t="s">
        <v>460</v>
      </c>
      <c r="F370" s="105">
        <v>500</v>
      </c>
      <c r="G370" s="106"/>
      <c r="H370" s="106"/>
      <c r="I370" s="107">
        <v>5.855044</v>
      </c>
      <c r="J370" s="107"/>
      <c r="K370" s="107">
        <v>4</v>
      </c>
      <c r="L370" s="107">
        <f t="shared" si="15"/>
        <v>2927.522</v>
      </c>
      <c r="M370" s="107">
        <f t="shared" si="16"/>
        <v>0</v>
      </c>
      <c r="N370" s="107">
        <f t="shared" si="17"/>
        <v>2000</v>
      </c>
      <c r="O370" s="129"/>
      <c r="P370" s="112" t="s">
        <v>77</v>
      </c>
    </row>
    <row r="371" ht="22" customHeight="1" spans="1:16">
      <c r="A371" s="104">
        <v>367</v>
      </c>
      <c r="B371" s="128" t="s">
        <v>857</v>
      </c>
      <c r="C371" s="111" t="s">
        <v>852</v>
      </c>
      <c r="D371" s="111" t="s">
        <v>853</v>
      </c>
      <c r="E371" s="132" t="s">
        <v>460</v>
      </c>
      <c r="F371" s="105">
        <v>2500</v>
      </c>
      <c r="G371" s="106"/>
      <c r="H371" s="106"/>
      <c r="I371" s="107">
        <v>5.7613803</v>
      </c>
      <c r="J371" s="107"/>
      <c r="K371" s="107">
        <v>4</v>
      </c>
      <c r="L371" s="107">
        <f t="shared" si="15"/>
        <v>14403.45075</v>
      </c>
      <c r="M371" s="107">
        <f t="shared" si="16"/>
        <v>0</v>
      </c>
      <c r="N371" s="107">
        <f t="shared" si="17"/>
        <v>10000</v>
      </c>
      <c r="O371" s="129"/>
      <c r="P371" s="112" t="s">
        <v>77</v>
      </c>
    </row>
    <row r="372" ht="22" customHeight="1" spans="1:16">
      <c r="A372" s="104">
        <v>368</v>
      </c>
      <c r="B372" s="128" t="s">
        <v>858</v>
      </c>
      <c r="C372" s="111" t="s">
        <v>852</v>
      </c>
      <c r="D372" s="111" t="s">
        <v>859</v>
      </c>
      <c r="E372" s="132" t="s">
        <v>460</v>
      </c>
      <c r="F372" s="105">
        <v>4000</v>
      </c>
      <c r="G372" s="106"/>
      <c r="H372" s="106"/>
      <c r="I372" s="107">
        <v>5.8050239</v>
      </c>
      <c r="J372" s="107"/>
      <c r="K372" s="107">
        <v>4</v>
      </c>
      <c r="L372" s="107">
        <f t="shared" si="15"/>
        <v>23220.0956</v>
      </c>
      <c r="M372" s="107">
        <f t="shared" si="16"/>
        <v>0</v>
      </c>
      <c r="N372" s="107">
        <f t="shared" si="17"/>
        <v>16000</v>
      </c>
      <c r="O372" s="129"/>
      <c r="P372" s="112" t="s">
        <v>77</v>
      </c>
    </row>
    <row r="373" ht="22" customHeight="1" spans="1:16">
      <c r="A373" s="104">
        <v>369</v>
      </c>
      <c r="B373" s="128" t="s">
        <v>860</v>
      </c>
      <c r="C373" s="111" t="s">
        <v>861</v>
      </c>
      <c r="D373" s="111" t="s">
        <v>862</v>
      </c>
      <c r="E373" s="132" t="s">
        <v>460</v>
      </c>
      <c r="F373" s="105">
        <v>400</v>
      </c>
      <c r="G373" s="106"/>
      <c r="H373" s="106"/>
      <c r="I373" s="107">
        <v>5.7397002</v>
      </c>
      <c r="J373" s="107"/>
      <c r="K373" s="107">
        <v>4</v>
      </c>
      <c r="L373" s="107">
        <f t="shared" si="15"/>
        <v>2295.88008</v>
      </c>
      <c r="M373" s="107">
        <f t="shared" si="16"/>
        <v>0</v>
      </c>
      <c r="N373" s="107">
        <f t="shared" si="17"/>
        <v>1600</v>
      </c>
      <c r="O373" s="129"/>
      <c r="P373" s="112" t="s">
        <v>77</v>
      </c>
    </row>
    <row r="374" ht="22" customHeight="1" spans="1:16">
      <c r="A374" s="104">
        <v>370</v>
      </c>
      <c r="B374" s="128" t="s">
        <v>863</v>
      </c>
      <c r="C374" s="111" t="s">
        <v>861</v>
      </c>
      <c r="D374" s="111" t="s">
        <v>864</v>
      </c>
      <c r="E374" s="132" t="s">
        <v>460</v>
      </c>
      <c r="F374" s="105">
        <v>800</v>
      </c>
      <c r="G374" s="106"/>
      <c r="H374" s="106"/>
      <c r="I374" s="107">
        <v>5.7705908</v>
      </c>
      <c r="J374" s="107"/>
      <c r="K374" s="107">
        <v>4</v>
      </c>
      <c r="L374" s="107">
        <f t="shared" si="15"/>
        <v>4616.47264</v>
      </c>
      <c r="M374" s="107">
        <f t="shared" si="16"/>
        <v>0</v>
      </c>
      <c r="N374" s="107">
        <f t="shared" si="17"/>
        <v>3200</v>
      </c>
      <c r="O374" s="129"/>
      <c r="P374" s="112" t="s">
        <v>77</v>
      </c>
    </row>
    <row r="375" ht="22" customHeight="1" spans="1:16">
      <c r="A375" s="104">
        <v>371</v>
      </c>
      <c r="B375" s="128" t="s">
        <v>865</v>
      </c>
      <c r="C375" s="111" t="s">
        <v>861</v>
      </c>
      <c r="D375" s="111" t="s">
        <v>866</v>
      </c>
      <c r="E375" s="132" t="s">
        <v>460</v>
      </c>
      <c r="F375" s="105">
        <v>400</v>
      </c>
      <c r="G375" s="106"/>
      <c r="H375" s="106"/>
      <c r="I375" s="107">
        <v>5.7307731</v>
      </c>
      <c r="J375" s="107"/>
      <c r="K375" s="107">
        <v>4</v>
      </c>
      <c r="L375" s="107">
        <f t="shared" si="15"/>
        <v>2292.30924</v>
      </c>
      <c r="M375" s="107">
        <f t="shared" si="16"/>
        <v>0</v>
      </c>
      <c r="N375" s="107">
        <f t="shared" si="17"/>
        <v>1600</v>
      </c>
      <c r="O375" s="129"/>
      <c r="P375" s="112" t="s">
        <v>77</v>
      </c>
    </row>
    <row r="376" ht="56" customHeight="1" spans="1:16">
      <c r="A376" s="104">
        <v>372</v>
      </c>
      <c r="B376" s="128" t="s">
        <v>867</v>
      </c>
      <c r="C376" s="111" t="s">
        <v>369</v>
      </c>
      <c r="D376" s="111" t="s">
        <v>345</v>
      </c>
      <c r="E376" s="116" t="s">
        <v>346</v>
      </c>
      <c r="F376" s="151">
        <v>5.48</v>
      </c>
      <c r="G376" s="106"/>
      <c r="H376" s="106"/>
      <c r="I376" s="107">
        <v>8924.38705752212</v>
      </c>
      <c r="J376" s="107">
        <v>4700</v>
      </c>
      <c r="K376" s="107">
        <v>2600</v>
      </c>
      <c r="L376" s="107">
        <f t="shared" si="15"/>
        <v>48905.6410752212</v>
      </c>
      <c r="M376" s="107">
        <f t="shared" si="16"/>
        <v>25756</v>
      </c>
      <c r="N376" s="107">
        <f t="shared" si="17"/>
        <v>14248</v>
      </c>
      <c r="O376" s="129"/>
      <c r="P376" s="112" t="s">
        <v>588</v>
      </c>
    </row>
    <row r="377" ht="22" customHeight="1" spans="1:16">
      <c r="A377" s="104">
        <v>373</v>
      </c>
      <c r="B377" s="104">
        <v>14</v>
      </c>
      <c r="C377" s="121" t="s">
        <v>868</v>
      </c>
      <c r="D377" s="111"/>
      <c r="E377" s="104"/>
      <c r="F377" s="104"/>
      <c r="G377" s="106"/>
      <c r="H377" s="106"/>
      <c r="I377" s="107">
        <v>0</v>
      </c>
      <c r="J377" s="107">
        <v>0</v>
      </c>
      <c r="K377" s="107">
        <v>0</v>
      </c>
      <c r="L377" s="107">
        <f>SUM(L378:L388)</f>
        <v>1574693.82477062</v>
      </c>
      <c r="M377" s="107">
        <f>SUM(M378:M388)</f>
        <v>137741.062</v>
      </c>
      <c r="N377" s="107">
        <f>SUM(N378:N388)</f>
        <v>205050</v>
      </c>
      <c r="O377" s="129"/>
      <c r="P377" s="112"/>
    </row>
    <row r="378" ht="78" customHeight="1" spans="1:16">
      <c r="A378" s="104">
        <v>374</v>
      </c>
      <c r="B378" s="128" t="s">
        <v>869</v>
      </c>
      <c r="C378" s="111" t="s">
        <v>870</v>
      </c>
      <c r="D378" s="111" t="s">
        <v>871</v>
      </c>
      <c r="E378" s="116" t="s">
        <v>331</v>
      </c>
      <c r="F378" s="104">
        <v>2</v>
      </c>
      <c r="G378" s="106">
        <v>3</v>
      </c>
      <c r="H378" s="106">
        <v>6</v>
      </c>
      <c r="I378" s="107">
        <v>25833</v>
      </c>
      <c r="J378" s="107">
        <v>0</v>
      </c>
      <c r="K378" s="107">
        <v>20000</v>
      </c>
      <c r="L378" s="107">
        <f t="shared" si="15"/>
        <v>51666</v>
      </c>
      <c r="M378" s="107">
        <f t="shared" si="16"/>
        <v>0</v>
      </c>
      <c r="N378" s="107">
        <f t="shared" si="17"/>
        <v>40000</v>
      </c>
      <c r="O378" s="129"/>
      <c r="P378" s="112" t="s">
        <v>434</v>
      </c>
    </row>
    <row r="379" ht="22" customHeight="1" spans="1:16">
      <c r="A379" s="104">
        <v>375</v>
      </c>
      <c r="B379" s="104">
        <v>14.2</v>
      </c>
      <c r="C379" s="121" t="s">
        <v>311</v>
      </c>
      <c r="D379" s="111"/>
      <c r="E379" s="104"/>
      <c r="F379" s="104"/>
      <c r="G379" s="106"/>
      <c r="H379" s="106"/>
      <c r="I379" s="107">
        <v>0</v>
      </c>
      <c r="J379" s="107">
        <v>0</v>
      </c>
      <c r="K379" s="107">
        <v>0</v>
      </c>
      <c r="L379" s="107">
        <f t="shared" si="15"/>
        <v>0</v>
      </c>
      <c r="M379" s="107">
        <f t="shared" si="16"/>
        <v>0</v>
      </c>
      <c r="N379" s="107">
        <f t="shared" si="17"/>
        <v>0</v>
      </c>
      <c r="O379" s="129"/>
      <c r="P379" s="112"/>
    </row>
    <row r="380" ht="90" customHeight="1" spans="1:16">
      <c r="A380" s="104">
        <v>376</v>
      </c>
      <c r="B380" s="128" t="s">
        <v>872</v>
      </c>
      <c r="C380" s="121" t="s">
        <v>873</v>
      </c>
      <c r="D380" s="111" t="s">
        <v>58</v>
      </c>
      <c r="E380" s="113" t="s">
        <v>59</v>
      </c>
      <c r="F380" s="106">
        <v>150</v>
      </c>
      <c r="G380" s="106"/>
      <c r="H380" s="106"/>
      <c r="I380" s="107">
        <v>980.970193805309</v>
      </c>
      <c r="J380" s="107">
        <v>260</v>
      </c>
      <c r="K380" s="107">
        <v>335</v>
      </c>
      <c r="L380" s="107">
        <f t="shared" si="15"/>
        <v>147145.529070796</v>
      </c>
      <c r="M380" s="107">
        <f t="shared" si="16"/>
        <v>39000</v>
      </c>
      <c r="N380" s="107">
        <f t="shared" si="17"/>
        <v>50250</v>
      </c>
      <c r="O380" s="129"/>
      <c r="P380" s="112" t="s">
        <v>60</v>
      </c>
    </row>
    <row r="381" ht="42" customHeight="1" spans="1:16">
      <c r="A381" s="104">
        <v>377</v>
      </c>
      <c r="B381" s="128" t="s">
        <v>874</v>
      </c>
      <c r="C381" s="121" t="s">
        <v>875</v>
      </c>
      <c r="D381" s="111" t="s">
        <v>876</v>
      </c>
      <c r="E381" s="104" t="s">
        <v>877</v>
      </c>
      <c r="F381" s="104">
        <v>520</v>
      </c>
      <c r="G381" s="106"/>
      <c r="H381" s="106"/>
      <c r="I381" s="107">
        <v>112.838580654867</v>
      </c>
      <c r="J381" s="107">
        <v>10.44435</v>
      </c>
      <c r="K381" s="107">
        <v>50</v>
      </c>
      <c r="L381" s="107">
        <f t="shared" si="15"/>
        <v>58676.0619405308</v>
      </c>
      <c r="M381" s="107">
        <f t="shared" si="16"/>
        <v>5431.062</v>
      </c>
      <c r="N381" s="107">
        <f t="shared" si="17"/>
        <v>26000</v>
      </c>
      <c r="O381" s="129"/>
      <c r="P381" s="112" t="s">
        <v>95</v>
      </c>
    </row>
    <row r="382" ht="32" customHeight="1" spans="1:16">
      <c r="A382" s="104">
        <v>378</v>
      </c>
      <c r="B382" s="128" t="s">
        <v>878</v>
      </c>
      <c r="C382" s="121" t="s">
        <v>879</v>
      </c>
      <c r="D382" s="111" t="s">
        <v>880</v>
      </c>
      <c r="E382" s="104" t="s">
        <v>389</v>
      </c>
      <c r="F382" s="104">
        <v>2</v>
      </c>
      <c r="G382" s="106"/>
      <c r="H382" s="106"/>
      <c r="I382" s="107">
        <v>25288</v>
      </c>
      <c r="J382" s="107">
        <v>0</v>
      </c>
      <c r="K382" s="107">
        <v>0</v>
      </c>
      <c r="L382" s="107">
        <f t="shared" si="15"/>
        <v>50576</v>
      </c>
      <c r="M382" s="107">
        <f t="shared" si="16"/>
        <v>0</v>
      </c>
      <c r="N382" s="107">
        <f t="shared" si="17"/>
        <v>0</v>
      </c>
      <c r="O382" s="129"/>
      <c r="P382" s="112" t="s">
        <v>881</v>
      </c>
    </row>
    <row r="383" ht="45" customHeight="1" spans="1:16">
      <c r="A383" s="104">
        <v>379</v>
      </c>
      <c r="B383" s="128" t="s">
        <v>882</v>
      </c>
      <c r="C383" s="131" t="s">
        <v>116</v>
      </c>
      <c r="D383" s="111" t="s">
        <v>345</v>
      </c>
      <c r="E383" s="116" t="s">
        <v>346</v>
      </c>
      <c r="F383" s="106">
        <v>17</v>
      </c>
      <c r="G383" s="106"/>
      <c r="H383" s="106"/>
      <c r="I383" s="107">
        <v>5361.39168141593</v>
      </c>
      <c r="J383" s="107">
        <v>3500</v>
      </c>
      <c r="K383" s="107">
        <v>900</v>
      </c>
      <c r="L383" s="107">
        <f t="shared" si="15"/>
        <v>91143.6585840708</v>
      </c>
      <c r="M383" s="107">
        <f t="shared" si="16"/>
        <v>59500</v>
      </c>
      <c r="N383" s="107">
        <f t="shared" si="17"/>
        <v>15300</v>
      </c>
      <c r="O383" s="129"/>
      <c r="P383" s="112" t="s">
        <v>65</v>
      </c>
    </row>
    <row r="384" ht="78" customHeight="1" spans="1:16">
      <c r="A384" s="104">
        <v>380</v>
      </c>
      <c r="B384" s="128" t="s">
        <v>883</v>
      </c>
      <c r="C384" s="121" t="s">
        <v>884</v>
      </c>
      <c r="D384" s="111" t="s">
        <v>885</v>
      </c>
      <c r="E384" s="118" t="s">
        <v>72</v>
      </c>
      <c r="F384" s="106">
        <v>600</v>
      </c>
      <c r="G384" s="106"/>
      <c r="H384" s="106"/>
      <c r="I384" s="107">
        <v>233.575465292035</v>
      </c>
      <c r="J384" s="107">
        <v>56.35</v>
      </c>
      <c r="K384" s="107">
        <v>35</v>
      </c>
      <c r="L384" s="107">
        <f t="shared" si="15"/>
        <v>140145.279175221</v>
      </c>
      <c r="M384" s="107">
        <f t="shared" si="16"/>
        <v>33810</v>
      </c>
      <c r="N384" s="107">
        <f t="shared" si="17"/>
        <v>21000</v>
      </c>
      <c r="O384" s="129"/>
      <c r="P384" s="112" t="s">
        <v>886</v>
      </c>
    </row>
    <row r="385" ht="73" customHeight="1" spans="1:16">
      <c r="A385" s="104">
        <v>381</v>
      </c>
      <c r="B385" s="128" t="s">
        <v>887</v>
      </c>
      <c r="C385" s="121" t="s">
        <v>888</v>
      </c>
      <c r="D385" s="111"/>
      <c r="E385" s="113" t="s">
        <v>59</v>
      </c>
      <c r="F385" s="106">
        <v>7500</v>
      </c>
      <c r="G385" s="106"/>
      <c r="H385" s="106"/>
      <c r="I385" s="107">
        <v>51.8404</v>
      </c>
      <c r="J385" s="107">
        <v>0</v>
      </c>
      <c r="K385" s="107">
        <v>2</v>
      </c>
      <c r="L385" s="107">
        <f t="shared" si="15"/>
        <v>388803</v>
      </c>
      <c r="M385" s="107">
        <f t="shared" si="16"/>
        <v>0</v>
      </c>
      <c r="N385" s="107">
        <f t="shared" si="17"/>
        <v>15000</v>
      </c>
      <c r="O385" s="129"/>
      <c r="P385" s="112" t="s">
        <v>219</v>
      </c>
    </row>
    <row r="386" ht="57" customHeight="1" spans="1:16">
      <c r="A386" s="104">
        <v>382</v>
      </c>
      <c r="B386" s="128" t="s">
        <v>889</v>
      </c>
      <c r="C386" s="111" t="s">
        <v>890</v>
      </c>
      <c r="D386" s="111" t="s">
        <v>891</v>
      </c>
      <c r="E386" s="104" t="s">
        <v>892</v>
      </c>
      <c r="F386" s="104">
        <v>10</v>
      </c>
      <c r="G386" s="106"/>
      <c r="H386" s="106"/>
      <c r="I386" s="107">
        <v>632.2</v>
      </c>
      <c r="J386" s="107">
        <v>0</v>
      </c>
      <c r="K386" s="107">
        <v>200</v>
      </c>
      <c r="L386" s="107">
        <f t="shared" si="15"/>
        <v>6322</v>
      </c>
      <c r="M386" s="107">
        <f t="shared" si="16"/>
        <v>0</v>
      </c>
      <c r="N386" s="107">
        <f t="shared" si="17"/>
        <v>2000</v>
      </c>
      <c r="O386" s="129"/>
      <c r="P386" s="112" t="s">
        <v>893</v>
      </c>
    </row>
    <row r="387" ht="53" customHeight="1" spans="1:16">
      <c r="A387" s="104">
        <v>383</v>
      </c>
      <c r="B387" s="128" t="s">
        <v>894</v>
      </c>
      <c r="C387" s="115" t="s">
        <v>895</v>
      </c>
      <c r="D387" s="111"/>
      <c r="E387" s="113" t="s">
        <v>59</v>
      </c>
      <c r="F387" s="106">
        <v>3600</v>
      </c>
      <c r="G387" s="106"/>
      <c r="H387" s="106"/>
      <c r="I387" s="107">
        <v>122.52036</v>
      </c>
      <c r="J387" s="107">
        <v>0</v>
      </c>
      <c r="K387" s="107">
        <v>5</v>
      </c>
      <c r="L387" s="107">
        <f t="shared" si="15"/>
        <v>441073.296</v>
      </c>
      <c r="M387" s="107">
        <f t="shared" si="16"/>
        <v>0</v>
      </c>
      <c r="N387" s="107">
        <f t="shared" si="17"/>
        <v>18000</v>
      </c>
      <c r="O387" s="129"/>
      <c r="P387" s="112" t="s">
        <v>219</v>
      </c>
    </row>
    <row r="388" ht="66" customHeight="1" spans="1:16">
      <c r="A388" s="104">
        <v>384</v>
      </c>
      <c r="B388" s="128" t="s">
        <v>896</v>
      </c>
      <c r="C388" s="111" t="s">
        <v>897</v>
      </c>
      <c r="D388" s="111"/>
      <c r="E388" s="118" t="s">
        <v>72</v>
      </c>
      <c r="F388" s="106">
        <v>3500</v>
      </c>
      <c r="G388" s="106"/>
      <c r="H388" s="106"/>
      <c r="I388" s="107">
        <v>56.898</v>
      </c>
      <c r="J388" s="107">
        <v>0</v>
      </c>
      <c r="K388" s="107">
        <v>5</v>
      </c>
      <c r="L388" s="107">
        <f t="shared" si="15"/>
        <v>199143</v>
      </c>
      <c r="M388" s="107">
        <f t="shared" si="16"/>
        <v>0</v>
      </c>
      <c r="N388" s="107">
        <f t="shared" si="17"/>
        <v>17500</v>
      </c>
      <c r="O388" s="129"/>
      <c r="P388" s="112" t="s">
        <v>898</v>
      </c>
    </row>
    <row r="389" ht="22" customHeight="1" spans="1:16">
      <c r="A389" s="104">
        <v>385</v>
      </c>
      <c r="B389" s="104">
        <v>15</v>
      </c>
      <c r="C389" s="121" t="s">
        <v>899</v>
      </c>
      <c r="D389" s="111"/>
      <c r="E389" s="104"/>
      <c r="F389" s="104"/>
      <c r="G389" s="106"/>
      <c r="H389" s="106"/>
      <c r="I389" s="107">
        <v>0</v>
      </c>
      <c r="J389" s="107">
        <v>0</v>
      </c>
      <c r="K389" s="107">
        <v>0</v>
      </c>
      <c r="L389" s="107">
        <f>SUM(L390:L446)</f>
        <v>1811417.2537842</v>
      </c>
      <c r="M389" s="107">
        <f>SUM(M390:M446)</f>
        <v>1626</v>
      </c>
      <c r="N389" s="107">
        <f>SUM(N390:N446)</f>
        <v>960817.37</v>
      </c>
      <c r="O389" s="129"/>
      <c r="P389" s="112"/>
    </row>
    <row r="390" ht="45" customHeight="1" spans="1:16">
      <c r="A390" s="104">
        <v>386</v>
      </c>
      <c r="B390" s="104">
        <v>15.1</v>
      </c>
      <c r="C390" s="121" t="s">
        <v>900</v>
      </c>
      <c r="D390" s="115" t="s">
        <v>901</v>
      </c>
      <c r="E390" s="113" t="s">
        <v>59</v>
      </c>
      <c r="F390" s="120">
        <v>50</v>
      </c>
      <c r="G390" s="106"/>
      <c r="H390" s="106"/>
      <c r="I390" s="107">
        <v>252.88</v>
      </c>
      <c r="J390" s="107">
        <v>0</v>
      </c>
      <c r="K390" s="107">
        <v>50</v>
      </c>
      <c r="L390" s="107">
        <f t="shared" si="15"/>
        <v>12644</v>
      </c>
      <c r="M390" s="107">
        <f t="shared" si="16"/>
        <v>0</v>
      </c>
      <c r="N390" s="107">
        <f t="shared" si="17"/>
        <v>2500</v>
      </c>
      <c r="O390" s="129"/>
      <c r="P390" s="112" t="s">
        <v>902</v>
      </c>
    </row>
    <row r="391" ht="22" customHeight="1" spans="1:16">
      <c r="A391" s="104">
        <v>387</v>
      </c>
      <c r="B391" s="104">
        <v>15.2</v>
      </c>
      <c r="C391" s="121" t="s">
        <v>903</v>
      </c>
      <c r="D391" s="115" t="s">
        <v>904</v>
      </c>
      <c r="E391" s="116" t="s">
        <v>346</v>
      </c>
      <c r="F391" s="120">
        <v>97</v>
      </c>
      <c r="G391" s="106"/>
      <c r="H391" s="106"/>
      <c r="I391" s="107">
        <v>758.64</v>
      </c>
      <c r="J391" s="107">
        <v>0</v>
      </c>
      <c r="K391" s="107">
        <v>600</v>
      </c>
      <c r="L391" s="107">
        <f t="shared" ref="L391:L454" si="18">F391*I391</f>
        <v>73588.08</v>
      </c>
      <c r="M391" s="107">
        <f t="shared" ref="M391:M454" si="19">F391*J391</f>
        <v>0</v>
      </c>
      <c r="N391" s="107">
        <f t="shared" ref="N391:N447" si="20">F391*K391</f>
        <v>58200</v>
      </c>
      <c r="O391" s="129"/>
      <c r="P391" s="112" t="s">
        <v>77</v>
      </c>
    </row>
    <row r="392" ht="22" customHeight="1" spans="1:16">
      <c r="A392" s="104">
        <v>388</v>
      </c>
      <c r="B392" s="104">
        <v>15.3</v>
      </c>
      <c r="C392" s="125" t="s">
        <v>905</v>
      </c>
      <c r="D392" s="115" t="s">
        <v>904</v>
      </c>
      <c r="E392" s="118" t="s">
        <v>72</v>
      </c>
      <c r="F392" s="106">
        <v>1100</v>
      </c>
      <c r="G392" s="106"/>
      <c r="H392" s="106"/>
      <c r="I392" s="107">
        <v>25.288</v>
      </c>
      <c r="J392" s="107">
        <v>0</v>
      </c>
      <c r="K392" s="107">
        <v>20</v>
      </c>
      <c r="L392" s="107">
        <f t="shared" si="18"/>
        <v>27816.8</v>
      </c>
      <c r="M392" s="107">
        <f t="shared" si="19"/>
        <v>0</v>
      </c>
      <c r="N392" s="107">
        <f t="shared" si="20"/>
        <v>22000</v>
      </c>
      <c r="O392" s="108"/>
      <c r="P392" s="112" t="s">
        <v>77</v>
      </c>
    </row>
    <row r="393" ht="22" customHeight="1" spans="1:16">
      <c r="A393" s="104">
        <v>389</v>
      </c>
      <c r="B393" s="104">
        <v>15.4</v>
      </c>
      <c r="C393" s="125" t="s">
        <v>906</v>
      </c>
      <c r="D393" s="115" t="s">
        <v>904</v>
      </c>
      <c r="E393" s="118" t="s">
        <v>72</v>
      </c>
      <c r="F393" s="106">
        <v>3780</v>
      </c>
      <c r="G393" s="106"/>
      <c r="H393" s="106"/>
      <c r="I393" s="107">
        <v>25.288</v>
      </c>
      <c r="J393" s="107">
        <v>0</v>
      </c>
      <c r="K393" s="107">
        <v>20</v>
      </c>
      <c r="L393" s="107">
        <f t="shared" si="18"/>
        <v>95588.64</v>
      </c>
      <c r="M393" s="107">
        <f t="shared" si="19"/>
        <v>0</v>
      </c>
      <c r="N393" s="107">
        <f t="shared" si="20"/>
        <v>75600</v>
      </c>
      <c r="O393" s="108"/>
      <c r="P393" s="112" t="s">
        <v>77</v>
      </c>
    </row>
    <row r="394" ht="22" customHeight="1" spans="1:16">
      <c r="A394" s="104">
        <v>390</v>
      </c>
      <c r="B394" s="104">
        <v>15.5</v>
      </c>
      <c r="C394" s="160" t="s">
        <v>907</v>
      </c>
      <c r="D394" s="115" t="s">
        <v>904</v>
      </c>
      <c r="E394" s="116" t="s">
        <v>346</v>
      </c>
      <c r="F394" s="120">
        <v>200</v>
      </c>
      <c r="G394" s="106"/>
      <c r="H394" s="106"/>
      <c r="I394" s="107">
        <v>758.64</v>
      </c>
      <c r="J394" s="107">
        <v>0</v>
      </c>
      <c r="K394" s="107">
        <v>600</v>
      </c>
      <c r="L394" s="107">
        <f t="shared" si="18"/>
        <v>151728</v>
      </c>
      <c r="M394" s="107">
        <f t="shared" si="19"/>
        <v>0</v>
      </c>
      <c r="N394" s="107">
        <f t="shared" si="20"/>
        <v>120000</v>
      </c>
      <c r="O394" s="129"/>
      <c r="P394" s="112" t="s">
        <v>77</v>
      </c>
    </row>
    <row r="395" ht="22" customHeight="1" spans="1:16">
      <c r="A395" s="104">
        <v>391</v>
      </c>
      <c r="B395" s="104">
        <v>15.6</v>
      </c>
      <c r="C395" s="121" t="s">
        <v>908</v>
      </c>
      <c r="D395" s="111" t="s">
        <v>901</v>
      </c>
      <c r="E395" s="113" t="s">
        <v>59</v>
      </c>
      <c r="F395" s="120">
        <v>25</v>
      </c>
      <c r="G395" s="106"/>
      <c r="H395" s="106"/>
      <c r="I395" s="107">
        <v>252.88</v>
      </c>
      <c r="J395" s="107">
        <v>0</v>
      </c>
      <c r="K395" s="107">
        <v>50</v>
      </c>
      <c r="L395" s="107">
        <f t="shared" si="18"/>
        <v>6322</v>
      </c>
      <c r="M395" s="107">
        <f t="shared" si="19"/>
        <v>0</v>
      </c>
      <c r="N395" s="107">
        <f t="shared" si="20"/>
        <v>1250</v>
      </c>
      <c r="O395" s="108"/>
      <c r="P395" s="112" t="s">
        <v>77</v>
      </c>
    </row>
    <row r="396" ht="22" customHeight="1" spans="1:16">
      <c r="A396" s="104">
        <v>392</v>
      </c>
      <c r="B396" s="104">
        <v>15.7</v>
      </c>
      <c r="C396" s="121" t="s">
        <v>909</v>
      </c>
      <c r="D396" s="111" t="s">
        <v>901</v>
      </c>
      <c r="E396" s="113" t="s">
        <v>59</v>
      </c>
      <c r="F396" s="120">
        <v>700</v>
      </c>
      <c r="G396" s="106"/>
      <c r="H396" s="106"/>
      <c r="I396" s="107">
        <v>252.88</v>
      </c>
      <c r="J396" s="107">
        <v>0</v>
      </c>
      <c r="K396" s="107">
        <v>50</v>
      </c>
      <c r="L396" s="107">
        <f t="shared" si="18"/>
        <v>177016</v>
      </c>
      <c r="M396" s="107">
        <f t="shared" si="19"/>
        <v>0</v>
      </c>
      <c r="N396" s="107">
        <f t="shared" si="20"/>
        <v>35000</v>
      </c>
      <c r="O396" s="108"/>
      <c r="P396" s="112" t="s">
        <v>77</v>
      </c>
    </row>
    <row r="397" ht="22" customHeight="1" spans="1:16">
      <c r="A397" s="104">
        <v>393</v>
      </c>
      <c r="B397" s="104">
        <v>15.8</v>
      </c>
      <c r="C397" s="111" t="s">
        <v>910</v>
      </c>
      <c r="D397" s="111" t="s">
        <v>901</v>
      </c>
      <c r="E397" s="113" t="s">
        <v>59</v>
      </c>
      <c r="F397" s="120">
        <v>20</v>
      </c>
      <c r="G397" s="106"/>
      <c r="H397" s="106"/>
      <c r="I397" s="107">
        <v>252.88</v>
      </c>
      <c r="J397" s="107">
        <v>0</v>
      </c>
      <c r="K397" s="107">
        <v>50</v>
      </c>
      <c r="L397" s="107">
        <f t="shared" si="18"/>
        <v>5057.6</v>
      </c>
      <c r="M397" s="107">
        <f t="shared" si="19"/>
        <v>0</v>
      </c>
      <c r="N397" s="107">
        <f t="shared" si="20"/>
        <v>1000</v>
      </c>
      <c r="O397" s="108"/>
      <c r="P397" s="112" t="s">
        <v>77</v>
      </c>
    </row>
    <row r="398" ht="22" customHeight="1" spans="1:16">
      <c r="A398" s="104">
        <v>394</v>
      </c>
      <c r="B398" s="104">
        <v>15.9</v>
      </c>
      <c r="C398" s="111" t="s">
        <v>911</v>
      </c>
      <c r="D398" s="111" t="s">
        <v>901</v>
      </c>
      <c r="E398" s="113" t="s">
        <v>59</v>
      </c>
      <c r="F398" s="120">
        <v>40</v>
      </c>
      <c r="G398" s="106"/>
      <c r="H398" s="106"/>
      <c r="I398" s="107">
        <v>252.88</v>
      </c>
      <c r="J398" s="107">
        <v>0</v>
      </c>
      <c r="K398" s="107">
        <v>50</v>
      </c>
      <c r="L398" s="107">
        <f t="shared" si="18"/>
        <v>10115.2</v>
      </c>
      <c r="M398" s="107">
        <f t="shared" si="19"/>
        <v>0</v>
      </c>
      <c r="N398" s="107">
        <f t="shared" si="20"/>
        <v>2000</v>
      </c>
      <c r="O398" s="108"/>
      <c r="P398" s="112" t="s">
        <v>77</v>
      </c>
    </row>
    <row r="399" ht="22" customHeight="1" spans="1:16">
      <c r="A399" s="104">
        <v>395</v>
      </c>
      <c r="B399" s="106">
        <v>15.1</v>
      </c>
      <c r="C399" s="111" t="s">
        <v>912</v>
      </c>
      <c r="D399" s="111" t="s">
        <v>904</v>
      </c>
      <c r="E399" s="116" t="s">
        <v>346</v>
      </c>
      <c r="F399" s="120">
        <v>56</v>
      </c>
      <c r="G399" s="106"/>
      <c r="H399" s="106"/>
      <c r="I399" s="107">
        <v>758.64</v>
      </c>
      <c r="J399" s="107">
        <v>0</v>
      </c>
      <c r="K399" s="107">
        <v>600</v>
      </c>
      <c r="L399" s="107">
        <f t="shared" si="18"/>
        <v>42483.84</v>
      </c>
      <c r="M399" s="107">
        <f t="shared" si="19"/>
        <v>0</v>
      </c>
      <c r="N399" s="107">
        <f t="shared" si="20"/>
        <v>33600</v>
      </c>
      <c r="O399" s="108"/>
      <c r="P399" s="112" t="s">
        <v>77</v>
      </c>
    </row>
    <row r="400" ht="22" customHeight="1" spans="1:16">
      <c r="A400" s="104">
        <v>396</v>
      </c>
      <c r="B400" s="104">
        <v>15.11</v>
      </c>
      <c r="C400" s="111" t="s">
        <v>913</v>
      </c>
      <c r="D400" s="111" t="s">
        <v>904</v>
      </c>
      <c r="E400" s="116" t="s">
        <v>346</v>
      </c>
      <c r="F400" s="120">
        <v>50</v>
      </c>
      <c r="G400" s="106"/>
      <c r="H400" s="106"/>
      <c r="I400" s="107">
        <v>758.64</v>
      </c>
      <c r="J400" s="107">
        <v>0</v>
      </c>
      <c r="K400" s="107">
        <v>600</v>
      </c>
      <c r="L400" s="107">
        <f t="shared" si="18"/>
        <v>37932</v>
      </c>
      <c r="M400" s="107">
        <f t="shared" si="19"/>
        <v>0</v>
      </c>
      <c r="N400" s="107">
        <f t="shared" si="20"/>
        <v>30000</v>
      </c>
      <c r="O400" s="108"/>
      <c r="P400" s="112" t="s">
        <v>77</v>
      </c>
    </row>
    <row r="401" ht="22" customHeight="1" spans="1:16">
      <c r="A401" s="104">
        <v>397</v>
      </c>
      <c r="B401" s="104">
        <v>15.12</v>
      </c>
      <c r="C401" s="121" t="s">
        <v>914</v>
      </c>
      <c r="D401" s="111" t="s">
        <v>904</v>
      </c>
      <c r="E401" s="116" t="s">
        <v>346</v>
      </c>
      <c r="F401" s="106">
        <v>60</v>
      </c>
      <c r="G401" s="106"/>
      <c r="H401" s="106"/>
      <c r="I401" s="107">
        <v>758.64</v>
      </c>
      <c r="J401" s="107">
        <v>0</v>
      </c>
      <c r="K401" s="107">
        <v>600</v>
      </c>
      <c r="L401" s="107">
        <f t="shared" si="18"/>
        <v>45518.4</v>
      </c>
      <c r="M401" s="107">
        <f t="shared" si="19"/>
        <v>0</v>
      </c>
      <c r="N401" s="107">
        <f t="shared" si="20"/>
        <v>36000</v>
      </c>
      <c r="O401" s="129"/>
      <c r="P401" s="112" t="s">
        <v>77</v>
      </c>
    </row>
    <row r="402" ht="22" customHeight="1" spans="1:16">
      <c r="A402" s="104">
        <v>398</v>
      </c>
      <c r="B402" s="104">
        <v>15.13</v>
      </c>
      <c r="C402" s="124" t="s">
        <v>915</v>
      </c>
      <c r="D402" s="161" t="s">
        <v>916</v>
      </c>
      <c r="E402" s="118" t="s">
        <v>72</v>
      </c>
      <c r="F402" s="106">
        <v>189</v>
      </c>
      <c r="G402" s="106"/>
      <c r="H402" s="106"/>
      <c r="I402" s="107">
        <v>88.508</v>
      </c>
      <c r="J402" s="107">
        <v>0</v>
      </c>
      <c r="K402" s="107">
        <v>20</v>
      </c>
      <c r="L402" s="107">
        <f t="shared" si="18"/>
        <v>16728.012</v>
      </c>
      <c r="M402" s="107">
        <f t="shared" si="19"/>
        <v>0</v>
      </c>
      <c r="N402" s="107">
        <f t="shared" si="20"/>
        <v>3780</v>
      </c>
      <c r="O402" s="108"/>
      <c r="P402" s="112" t="s">
        <v>77</v>
      </c>
    </row>
    <row r="403" ht="22" customHeight="1" spans="1:16">
      <c r="A403" s="104">
        <v>399</v>
      </c>
      <c r="B403" s="104">
        <v>15.14</v>
      </c>
      <c r="C403" s="124" t="s">
        <v>917</v>
      </c>
      <c r="D403" s="161" t="s">
        <v>916</v>
      </c>
      <c r="E403" s="118" t="s">
        <v>72</v>
      </c>
      <c r="F403" s="106">
        <v>6.3</v>
      </c>
      <c r="G403" s="106"/>
      <c r="H403" s="106"/>
      <c r="I403" s="107">
        <v>88.508</v>
      </c>
      <c r="J403" s="107">
        <v>0</v>
      </c>
      <c r="K403" s="107">
        <v>20</v>
      </c>
      <c r="L403" s="107">
        <f t="shared" si="18"/>
        <v>557.6004</v>
      </c>
      <c r="M403" s="107">
        <f t="shared" si="19"/>
        <v>0</v>
      </c>
      <c r="N403" s="107">
        <f t="shared" si="20"/>
        <v>126</v>
      </c>
      <c r="O403" s="108"/>
      <c r="P403" s="112" t="s">
        <v>77</v>
      </c>
    </row>
    <row r="404" ht="22" customHeight="1" spans="1:16">
      <c r="A404" s="104">
        <v>400</v>
      </c>
      <c r="B404" s="104">
        <v>15.15</v>
      </c>
      <c r="C404" s="124" t="s">
        <v>918</v>
      </c>
      <c r="D404" s="161" t="s">
        <v>916</v>
      </c>
      <c r="E404" s="118" t="s">
        <v>72</v>
      </c>
      <c r="F404" s="106">
        <v>42</v>
      </c>
      <c r="G404" s="106"/>
      <c r="H404" s="106"/>
      <c r="I404" s="107">
        <v>88.508</v>
      </c>
      <c r="J404" s="107">
        <v>0</v>
      </c>
      <c r="K404" s="107">
        <v>20</v>
      </c>
      <c r="L404" s="107">
        <f t="shared" si="18"/>
        <v>3717.336</v>
      </c>
      <c r="M404" s="107">
        <f t="shared" si="19"/>
        <v>0</v>
      </c>
      <c r="N404" s="107">
        <f t="shared" si="20"/>
        <v>840</v>
      </c>
      <c r="O404" s="108"/>
      <c r="P404" s="112" t="s">
        <v>77</v>
      </c>
    </row>
    <row r="405" ht="22" customHeight="1" spans="1:16">
      <c r="A405" s="104">
        <v>401</v>
      </c>
      <c r="B405" s="104">
        <v>15.16</v>
      </c>
      <c r="C405" s="124" t="s">
        <v>919</v>
      </c>
      <c r="D405" s="161" t="s">
        <v>916</v>
      </c>
      <c r="E405" s="118" t="s">
        <v>72</v>
      </c>
      <c r="F405" s="106">
        <v>60.9525</v>
      </c>
      <c r="G405" s="106"/>
      <c r="H405" s="106"/>
      <c r="I405" s="107">
        <v>88.508</v>
      </c>
      <c r="J405" s="107">
        <v>0</v>
      </c>
      <c r="K405" s="107">
        <v>20</v>
      </c>
      <c r="L405" s="107">
        <f t="shared" si="18"/>
        <v>5394.78387</v>
      </c>
      <c r="M405" s="107">
        <f t="shared" si="19"/>
        <v>0</v>
      </c>
      <c r="N405" s="107">
        <f t="shared" si="20"/>
        <v>1219.05</v>
      </c>
      <c r="O405" s="108"/>
      <c r="P405" s="112" t="s">
        <v>77</v>
      </c>
    </row>
    <row r="406" ht="22" customHeight="1" spans="1:16">
      <c r="A406" s="104">
        <v>402</v>
      </c>
      <c r="B406" s="104">
        <v>15.17</v>
      </c>
      <c r="C406" s="124" t="s">
        <v>920</v>
      </c>
      <c r="D406" s="161" t="s">
        <v>921</v>
      </c>
      <c r="E406" s="118" t="s">
        <v>72</v>
      </c>
      <c r="F406" s="106">
        <v>75.6</v>
      </c>
      <c r="G406" s="106"/>
      <c r="H406" s="106"/>
      <c r="I406" s="107">
        <v>88.508</v>
      </c>
      <c r="J406" s="107">
        <v>0</v>
      </c>
      <c r="K406" s="107">
        <v>20</v>
      </c>
      <c r="L406" s="107">
        <f t="shared" si="18"/>
        <v>6691.2048</v>
      </c>
      <c r="M406" s="107">
        <f t="shared" si="19"/>
        <v>0</v>
      </c>
      <c r="N406" s="107">
        <f t="shared" si="20"/>
        <v>1512</v>
      </c>
      <c r="O406" s="108"/>
      <c r="P406" s="112" t="s">
        <v>77</v>
      </c>
    </row>
    <row r="407" ht="22" customHeight="1" spans="1:16">
      <c r="A407" s="104">
        <v>403</v>
      </c>
      <c r="B407" s="104">
        <v>15.18</v>
      </c>
      <c r="C407" s="121" t="s">
        <v>922</v>
      </c>
      <c r="D407" s="111" t="s">
        <v>904</v>
      </c>
      <c r="E407" s="116" t="s">
        <v>346</v>
      </c>
      <c r="F407" s="106">
        <v>5</v>
      </c>
      <c r="G407" s="106"/>
      <c r="H407" s="106"/>
      <c r="I407" s="107">
        <v>632.2</v>
      </c>
      <c r="J407" s="107">
        <v>0</v>
      </c>
      <c r="K407" s="107">
        <v>500</v>
      </c>
      <c r="L407" s="107">
        <f t="shared" si="18"/>
        <v>3161</v>
      </c>
      <c r="M407" s="107">
        <f t="shared" si="19"/>
        <v>0</v>
      </c>
      <c r="N407" s="107">
        <f t="shared" si="20"/>
        <v>2500</v>
      </c>
      <c r="O407" s="129"/>
      <c r="P407" s="112" t="s">
        <v>77</v>
      </c>
    </row>
    <row r="408" ht="22" customHeight="1" spans="1:16">
      <c r="A408" s="104">
        <v>404</v>
      </c>
      <c r="B408" s="104">
        <v>15.19</v>
      </c>
      <c r="C408" s="111" t="s">
        <v>923</v>
      </c>
      <c r="D408" s="111" t="s">
        <v>904</v>
      </c>
      <c r="E408" s="116" t="s">
        <v>346</v>
      </c>
      <c r="F408" s="106">
        <v>40</v>
      </c>
      <c r="G408" s="162"/>
      <c r="H408" s="162"/>
      <c r="I408" s="107">
        <v>632.2</v>
      </c>
      <c r="J408" s="107">
        <v>0</v>
      </c>
      <c r="K408" s="107">
        <v>500</v>
      </c>
      <c r="L408" s="107">
        <f t="shared" si="18"/>
        <v>25288</v>
      </c>
      <c r="M408" s="107">
        <f t="shared" si="19"/>
        <v>0</v>
      </c>
      <c r="N408" s="107">
        <f t="shared" si="20"/>
        <v>20000</v>
      </c>
      <c r="O408" s="129"/>
      <c r="P408" s="112" t="s">
        <v>77</v>
      </c>
    </row>
    <row r="409" ht="30" customHeight="1" spans="1:16">
      <c r="A409" s="104">
        <v>405</v>
      </c>
      <c r="B409" s="106">
        <v>15.2</v>
      </c>
      <c r="C409" s="135" t="s">
        <v>924</v>
      </c>
      <c r="D409" s="111" t="s">
        <v>904</v>
      </c>
      <c r="E409" s="136" t="s">
        <v>296</v>
      </c>
      <c r="F409" s="136">
        <v>1</v>
      </c>
      <c r="G409" s="106"/>
      <c r="H409" s="106"/>
      <c r="I409" s="107">
        <v>25288</v>
      </c>
      <c r="J409" s="107">
        <v>0</v>
      </c>
      <c r="K409" s="107">
        <v>10000</v>
      </c>
      <c r="L409" s="107">
        <f t="shared" si="18"/>
        <v>25288</v>
      </c>
      <c r="M409" s="107">
        <f t="shared" si="19"/>
        <v>0</v>
      </c>
      <c r="N409" s="107">
        <f t="shared" si="20"/>
        <v>10000</v>
      </c>
      <c r="O409" s="129"/>
      <c r="P409" s="112" t="s">
        <v>77</v>
      </c>
    </row>
    <row r="410" ht="33" customHeight="1" spans="1:16">
      <c r="A410" s="104">
        <v>406</v>
      </c>
      <c r="B410" s="104">
        <v>15.21</v>
      </c>
      <c r="C410" s="135" t="s">
        <v>925</v>
      </c>
      <c r="D410" s="111" t="s">
        <v>904</v>
      </c>
      <c r="E410" s="136" t="s">
        <v>331</v>
      </c>
      <c r="F410" s="136">
        <v>1</v>
      </c>
      <c r="G410" s="106"/>
      <c r="H410" s="106"/>
      <c r="I410" s="107">
        <v>6322</v>
      </c>
      <c r="J410" s="107">
        <v>0</v>
      </c>
      <c r="K410" s="107">
        <v>5000</v>
      </c>
      <c r="L410" s="107">
        <f t="shared" si="18"/>
        <v>6322</v>
      </c>
      <c r="M410" s="107">
        <f t="shared" si="19"/>
        <v>0</v>
      </c>
      <c r="N410" s="107">
        <f t="shared" si="20"/>
        <v>5000</v>
      </c>
      <c r="O410" s="129"/>
      <c r="P410" s="112" t="s">
        <v>77</v>
      </c>
    </row>
    <row r="411" ht="34" customHeight="1" spans="1:16">
      <c r="A411" s="104">
        <v>407</v>
      </c>
      <c r="B411" s="104">
        <v>15.22</v>
      </c>
      <c r="C411" s="111" t="s">
        <v>926</v>
      </c>
      <c r="D411" s="111" t="s">
        <v>904</v>
      </c>
      <c r="E411" s="163" t="s">
        <v>331</v>
      </c>
      <c r="F411" s="105">
        <v>1</v>
      </c>
      <c r="G411" s="106"/>
      <c r="H411" s="106"/>
      <c r="I411" s="107">
        <v>10115.2</v>
      </c>
      <c r="J411" s="107">
        <v>0</v>
      </c>
      <c r="K411" s="107">
        <v>8000</v>
      </c>
      <c r="L411" s="107">
        <f t="shared" si="18"/>
        <v>10115.2</v>
      </c>
      <c r="M411" s="107">
        <f t="shared" si="19"/>
        <v>0</v>
      </c>
      <c r="N411" s="107">
        <f t="shared" si="20"/>
        <v>8000</v>
      </c>
      <c r="O411" s="129"/>
      <c r="P411" s="112" t="s">
        <v>77</v>
      </c>
    </row>
    <row r="412" ht="22" customHeight="1" spans="1:16">
      <c r="A412" s="104">
        <v>408</v>
      </c>
      <c r="B412" s="104">
        <v>15.23</v>
      </c>
      <c r="C412" s="111" t="s">
        <v>927</v>
      </c>
      <c r="D412" s="111" t="s">
        <v>928</v>
      </c>
      <c r="E412" s="132" t="s">
        <v>460</v>
      </c>
      <c r="F412" s="105">
        <v>1300</v>
      </c>
      <c r="G412" s="106"/>
      <c r="H412" s="106"/>
      <c r="I412" s="107">
        <v>10.1152</v>
      </c>
      <c r="J412" s="107">
        <v>0</v>
      </c>
      <c r="K412" s="107">
        <v>8</v>
      </c>
      <c r="L412" s="107">
        <f t="shared" si="18"/>
        <v>13149.76</v>
      </c>
      <c r="M412" s="107">
        <f t="shared" si="19"/>
        <v>0</v>
      </c>
      <c r="N412" s="107">
        <f t="shared" si="20"/>
        <v>10400</v>
      </c>
      <c r="O412" s="129"/>
      <c r="P412" s="112" t="s">
        <v>77</v>
      </c>
    </row>
    <row r="413" ht="91" customHeight="1" spans="1:16">
      <c r="A413" s="104">
        <v>409</v>
      </c>
      <c r="B413" s="104">
        <v>15.24</v>
      </c>
      <c r="C413" s="121" t="s">
        <v>929</v>
      </c>
      <c r="D413" s="115" t="s">
        <v>930</v>
      </c>
      <c r="E413" s="118" t="s">
        <v>72</v>
      </c>
      <c r="F413" s="106">
        <v>500</v>
      </c>
      <c r="G413" s="106"/>
      <c r="H413" s="106"/>
      <c r="I413" s="107">
        <v>151.728</v>
      </c>
      <c r="J413" s="107">
        <v>0</v>
      </c>
      <c r="K413" s="107">
        <v>20</v>
      </c>
      <c r="L413" s="107">
        <f t="shared" si="18"/>
        <v>75864</v>
      </c>
      <c r="M413" s="107">
        <f t="shared" si="19"/>
        <v>0</v>
      </c>
      <c r="N413" s="107">
        <f t="shared" si="20"/>
        <v>10000</v>
      </c>
      <c r="O413" s="129"/>
      <c r="P413" s="112" t="s">
        <v>77</v>
      </c>
    </row>
    <row r="414" ht="28" customHeight="1" spans="1:16">
      <c r="A414" s="104">
        <v>410</v>
      </c>
      <c r="B414" s="104">
        <v>15.25</v>
      </c>
      <c r="C414" s="121" t="s">
        <v>931</v>
      </c>
      <c r="D414" s="111" t="s">
        <v>932</v>
      </c>
      <c r="E414" s="104" t="s">
        <v>331</v>
      </c>
      <c r="F414" s="104">
        <v>2</v>
      </c>
      <c r="G414" s="106">
        <v>3</v>
      </c>
      <c r="H414" s="106">
        <v>6</v>
      </c>
      <c r="I414" s="107">
        <v>5057.6</v>
      </c>
      <c r="J414" s="107">
        <v>0</v>
      </c>
      <c r="K414" s="107">
        <v>1000</v>
      </c>
      <c r="L414" s="107">
        <f t="shared" si="18"/>
        <v>10115.2</v>
      </c>
      <c r="M414" s="107">
        <f t="shared" si="19"/>
        <v>0</v>
      </c>
      <c r="N414" s="107">
        <f t="shared" si="20"/>
        <v>2000</v>
      </c>
      <c r="O414" s="129"/>
      <c r="P414" s="112" t="s">
        <v>77</v>
      </c>
    </row>
    <row r="415" ht="34" customHeight="1" spans="1:16">
      <c r="A415" s="104">
        <v>411</v>
      </c>
      <c r="B415" s="104">
        <v>15.26</v>
      </c>
      <c r="C415" s="121" t="s">
        <v>933</v>
      </c>
      <c r="D415" s="111" t="s">
        <v>934</v>
      </c>
      <c r="E415" s="132" t="s">
        <v>460</v>
      </c>
      <c r="F415" s="104">
        <v>500</v>
      </c>
      <c r="G415" s="106"/>
      <c r="H415" s="106"/>
      <c r="I415" s="107">
        <v>69.542</v>
      </c>
      <c r="J415" s="107">
        <v>0</v>
      </c>
      <c r="K415" s="107">
        <v>25</v>
      </c>
      <c r="L415" s="107">
        <f t="shared" si="18"/>
        <v>34771</v>
      </c>
      <c r="M415" s="107">
        <f t="shared" si="19"/>
        <v>0</v>
      </c>
      <c r="N415" s="107">
        <f t="shared" si="20"/>
        <v>12500</v>
      </c>
      <c r="O415" s="129"/>
      <c r="P415" s="112" t="s">
        <v>77</v>
      </c>
    </row>
    <row r="416" ht="53" customHeight="1" spans="1:16">
      <c r="A416" s="104">
        <v>412</v>
      </c>
      <c r="B416" s="104">
        <v>15.27</v>
      </c>
      <c r="C416" s="121" t="s">
        <v>935</v>
      </c>
      <c r="D416" s="111" t="s">
        <v>936</v>
      </c>
      <c r="E416" s="104" t="s">
        <v>937</v>
      </c>
      <c r="F416" s="104">
        <v>2</v>
      </c>
      <c r="G416" s="106"/>
      <c r="H416" s="106"/>
      <c r="I416" s="107">
        <v>1896.6</v>
      </c>
      <c r="J416" s="107">
        <v>0</v>
      </c>
      <c r="K416" s="107">
        <v>500</v>
      </c>
      <c r="L416" s="107">
        <f t="shared" si="18"/>
        <v>3793.2</v>
      </c>
      <c r="M416" s="107">
        <f t="shared" si="19"/>
        <v>0</v>
      </c>
      <c r="N416" s="107">
        <f t="shared" si="20"/>
        <v>1000</v>
      </c>
      <c r="O416" s="129"/>
      <c r="P416" s="112" t="s">
        <v>77</v>
      </c>
    </row>
    <row r="417" ht="38" customHeight="1" spans="1:16">
      <c r="A417" s="104">
        <v>413</v>
      </c>
      <c r="B417" s="104">
        <v>15.28</v>
      </c>
      <c r="C417" s="131" t="s">
        <v>938</v>
      </c>
      <c r="D417" s="111" t="s">
        <v>904</v>
      </c>
      <c r="E417" s="113" t="s">
        <v>64</v>
      </c>
      <c r="F417" s="106">
        <v>2</v>
      </c>
      <c r="G417" s="106"/>
      <c r="H417" s="106"/>
      <c r="I417" s="107">
        <v>1137.96</v>
      </c>
      <c r="J417" s="107">
        <v>0</v>
      </c>
      <c r="K417" s="107">
        <v>900</v>
      </c>
      <c r="L417" s="107">
        <f t="shared" si="18"/>
        <v>2275.92</v>
      </c>
      <c r="M417" s="107">
        <f t="shared" si="19"/>
        <v>0</v>
      </c>
      <c r="N417" s="107">
        <f t="shared" si="20"/>
        <v>1800</v>
      </c>
      <c r="O417" s="129"/>
      <c r="P417" s="112" t="s">
        <v>77</v>
      </c>
    </row>
    <row r="418" ht="38" customHeight="1" spans="1:16">
      <c r="A418" s="104">
        <v>414</v>
      </c>
      <c r="B418" s="104">
        <v>15.29</v>
      </c>
      <c r="C418" s="131" t="s">
        <v>939</v>
      </c>
      <c r="D418" s="111" t="s">
        <v>904</v>
      </c>
      <c r="E418" s="113" t="s">
        <v>64</v>
      </c>
      <c r="F418" s="106">
        <v>2</v>
      </c>
      <c r="G418" s="106"/>
      <c r="H418" s="106"/>
      <c r="I418" s="107">
        <v>1137.96</v>
      </c>
      <c r="J418" s="107">
        <v>0</v>
      </c>
      <c r="K418" s="107">
        <v>900</v>
      </c>
      <c r="L418" s="107">
        <f t="shared" si="18"/>
        <v>2275.92</v>
      </c>
      <c r="M418" s="107">
        <f t="shared" si="19"/>
        <v>0</v>
      </c>
      <c r="N418" s="107">
        <f t="shared" si="20"/>
        <v>1800</v>
      </c>
      <c r="O418" s="129"/>
      <c r="P418" s="112" t="s">
        <v>77</v>
      </c>
    </row>
    <row r="419" ht="38" customHeight="1" spans="1:16">
      <c r="A419" s="104">
        <v>415</v>
      </c>
      <c r="B419" s="106">
        <v>15.3</v>
      </c>
      <c r="C419" s="131" t="s">
        <v>940</v>
      </c>
      <c r="D419" s="111" t="s">
        <v>904</v>
      </c>
      <c r="E419" s="113" t="s">
        <v>460</v>
      </c>
      <c r="F419" s="104">
        <v>2600</v>
      </c>
      <c r="G419" s="106"/>
      <c r="H419" s="106"/>
      <c r="I419" s="107">
        <v>10.1152</v>
      </c>
      <c r="J419" s="107">
        <v>0</v>
      </c>
      <c r="K419" s="107">
        <v>8</v>
      </c>
      <c r="L419" s="107">
        <f t="shared" si="18"/>
        <v>26299.52</v>
      </c>
      <c r="M419" s="107">
        <f t="shared" si="19"/>
        <v>0</v>
      </c>
      <c r="N419" s="107">
        <f t="shared" si="20"/>
        <v>20800</v>
      </c>
      <c r="O419" s="129"/>
      <c r="P419" s="112" t="s">
        <v>77</v>
      </c>
    </row>
    <row r="420" ht="48" customHeight="1" spans="1:16">
      <c r="A420" s="104">
        <v>416</v>
      </c>
      <c r="B420" s="104">
        <v>15.31</v>
      </c>
      <c r="C420" s="131" t="s">
        <v>941</v>
      </c>
      <c r="D420" s="115" t="s">
        <v>904</v>
      </c>
      <c r="E420" s="113" t="s">
        <v>59</v>
      </c>
      <c r="F420" s="106">
        <v>526</v>
      </c>
      <c r="G420" s="106"/>
      <c r="H420" s="106"/>
      <c r="I420" s="107">
        <v>214.948</v>
      </c>
      <c r="J420" s="107">
        <v>0</v>
      </c>
      <c r="K420" s="107">
        <v>20</v>
      </c>
      <c r="L420" s="107">
        <f t="shared" si="18"/>
        <v>113062.648</v>
      </c>
      <c r="M420" s="107">
        <f t="shared" si="19"/>
        <v>0</v>
      </c>
      <c r="N420" s="107">
        <f t="shared" si="20"/>
        <v>10520</v>
      </c>
      <c r="O420" s="129"/>
      <c r="P420" s="112" t="s">
        <v>77</v>
      </c>
    </row>
    <row r="421" ht="48" customHeight="1" spans="1:16">
      <c r="A421" s="104">
        <v>417</v>
      </c>
      <c r="B421" s="104">
        <v>15.32</v>
      </c>
      <c r="C421" s="131" t="s">
        <v>942</v>
      </c>
      <c r="D421" s="115" t="s">
        <v>904</v>
      </c>
      <c r="E421" s="113" t="s">
        <v>64</v>
      </c>
      <c r="F421" s="106">
        <v>4</v>
      </c>
      <c r="G421" s="106"/>
      <c r="H421" s="106"/>
      <c r="I421" s="107">
        <v>1137.96</v>
      </c>
      <c r="J421" s="107">
        <v>0</v>
      </c>
      <c r="K421" s="107">
        <v>900</v>
      </c>
      <c r="L421" s="107">
        <f t="shared" si="18"/>
        <v>4551.84</v>
      </c>
      <c r="M421" s="107">
        <f t="shared" si="19"/>
        <v>0</v>
      </c>
      <c r="N421" s="107">
        <f t="shared" si="20"/>
        <v>3600</v>
      </c>
      <c r="O421" s="129"/>
      <c r="P421" s="112" t="s">
        <v>77</v>
      </c>
    </row>
    <row r="422" ht="48" customHeight="1" spans="1:16">
      <c r="A422" s="104">
        <v>418</v>
      </c>
      <c r="B422" s="104">
        <v>15.33</v>
      </c>
      <c r="C422" s="131" t="s">
        <v>943</v>
      </c>
      <c r="D422" s="115" t="s">
        <v>904</v>
      </c>
      <c r="E422" s="113" t="s">
        <v>59</v>
      </c>
      <c r="F422" s="106">
        <v>85</v>
      </c>
      <c r="G422" s="106"/>
      <c r="H422" s="106"/>
      <c r="I422" s="107">
        <v>214.948</v>
      </c>
      <c r="J422" s="107">
        <v>0</v>
      </c>
      <c r="K422" s="107">
        <v>20</v>
      </c>
      <c r="L422" s="107">
        <f t="shared" si="18"/>
        <v>18270.58</v>
      </c>
      <c r="M422" s="107">
        <f t="shared" si="19"/>
        <v>0</v>
      </c>
      <c r="N422" s="107">
        <f t="shared" si="20"/>
        <v>1700</v>
      </c>
      <c r="O422" s="129"/>
      <c r="P422" s="112" t="s">
        <v>77</v>
      </c>
    </row>
    <row r="423" ht="62" customHeight="1" spans="1:16">
      <c r="A423" s="104">
        <v>419</v>
      </c>
      <c r="B423" s="104">
        <v>15.34</v>
      </c>
      <c r="C423" s="131" t="s">
        <v>944</v>
      </c>
      <c r="D423" s="115" t="s">
        <v>945</v>
      </c>
      <c r="E423" s="113" t="s">
        <v>72</v>
      </c>
      <c r="F423" s="106">
        <v>160</v>
      </c>
      <c r="G423" s="106"/>
      <c r="H423" s="106"/>
      <c r="I423" s="107">
        <v>88.508</v>
      </c>
      <c r="J423" s="107">
        <v>0</v>
      </c>
      <c r="K423" s="107">
        <v>20</v>
      </c>
      <c r="L423" s="107">
        <f t="shared" si="18"/>
        <v>14161.28</v>
      </c>
      <c r="M423" s="107">
        <f t="shared" si="19"/>
        <v>0</v>
      </c>
      <c r="N423" s="107">
        <f t="shared" si="20"/>
        <v>3200</v>
      </c>
      <c r="O423" s="129"/>
      <c r="P423" s="112" t="s">
        <v>77</v>
      </c>
    </row>
    <row r="424" ht="38" customHeight="1" spans="1:16">
      <c r="A424" s="104">
        <v>420</v>
      </c>
      <c r="B424" s="104">
        <v>15.35</v>
      </c>
      <c r="C424" s="131" t="s">
        <v>946</v>
      </c>
      <c r="D424" s="115" t="s">
        <v>947</v>
      </c>
      <c r="E424" s="104" t="s">
        <v>64</v>
      </c>
      <c r="F424" s="106">
        <v>83.2</v>
      </c>
      <c r="G424" s="106"/>
      <c r="H424" s="106"/>
      <c r="I424" s="107">
        <v>758.64</v>
      </c>
      <c r="J424" s="107">
        <v>0</v>
      </c>
      <c r="K424" s="107">
        <v>600</v>
      </c>
      <c r="L424" s="107">
        <f t="shared" si="18"/>
        <v>63118.848</v>
      </c>
      <c r="M424" s="107">
        <f t="shared" si="19"/>
        <v>0</v>
      </c>
      <c r="N424" s="107">
        <f t="shared" si="20"/>
        <v>49920</v>
      </c>
      <c r="O424" s="129"/>
      <c r="P424" s="112" t="s">
        <v>77</v>
      </c>
    </row>
    <row r="425" ht="38" customHeight="1" spans="1:16">
      <c r="A425" s="104">
        <v>421</v>
      </c>
      <c r="B425" s="104">
        <v>15.36</v>
      </c>
      <c r="C425" s="131" t="s">
        <v>948</v>
      </c>
      <c r="D425" s="115" t="s">
        <v>904</v>
      </c>
      <c r="E425" s="104" t="s">
        <v>64</v>
      </c>
      <c r="F425" s="106">
        <v>20</v>
      </c>
      <c r="G425" s="106"/>
      <c r="H425" s="106"/>
      <c r="I425" s="107">
        <v>758.64</v>
      </c>
      <c r="J425" s="107">
        <v>0</v>
      </c>
      <c r="K425" s="107">
        <v>600</v>
      </c>
      <c r="L425" s="107">
        <f t="shared" si="18"/>
        <v>15172.8</v>
      </c>
      <c r="M425" s="107">
        <f t="shared" si="19"/>
        <v>0</v>
      </c>
      <c r="N425" s="107">
        <f t="shared" si="20"/>
        <v>12000</v>
      </c>
      <c r="O425" s="129"/>
      <c r="P425" s="112" t="s">
        <v>77</v>
      </c>
    </row>
    <row r="426" ht="99" customHeight="1" spans="1:16">
      <c r="A426" s="104">
        <v>422</v>
      </c>
      <c r="B426" s="104">
        <v>15.37</v>
      </c>
      <c r="C426" s="131" t="s">
        <v>949</v>
      </c>
      <c r="D426" s="115" t="s">
        <v>950</v>
      </c>
      <c r="E426" s="104" t="s">
        <v>951</v>
      </c>
      <c r="F426" s="104">
        <v>1</v>
      </c>
      <c r="G426" s="106"/>
      <c r="H426" s="106"/>
      <c r="I426" s="107">
        <v>6322</v>
      </c>
      <c r="J426" s="107">
        <v>0</v>
      </c>
      <c r="K426" s="107">
        <v>5000</v>
      </c>
      <c r="L426" s="107">
        <f t="shared" si="18"/>
        <v>6322</v>
      </c>
      <c r="M426" s="107">
        <f t="shared" si="19"/>
        <v>0</v>
      </c>
      <c r="N426" s="107">
        <f t="shared" si="20"/>
        <v>5000</v>
      </c>
      <c r="O426" s="129"/>
      <c r="P426" s="112" t="s">
        <v>77</v>
      </c>
    </row>
    <row r="427" ht="38" customHeight="1" spans="1:16">
      <c r="A427" s="104">
        <v>423</v>
      </c>
      <c r="B427" s="104">
        <v>15.38</v>
      </c>
      <c r="C427" s="131" t="s">
        <v>952</v>
      </c>
      <c r="D427" s="115" t="s">
        <v>904</v>
      </c>
      <c r="E427" s="104" t="s">
        <v>64</v>
      </c>
      <c r="F427" s="106">
        <v>100</v>
      </c>
      <c r="G427" s="106"/>
      <c r="H427" s="106"/>
      <c r="I427" s="107">
        <v>1011.52</v>
      </c>
      <c r="J427" s="107">
        <v>0</v>
      </c>
      <c r="K427" s="107">
        <v>800</v>
      </c>
      <c r="L427" s="107">
        <f t="shared" si="18"/>
        <v>101152</v>
      </c>
      <c r="M427" s="107">
        <f t="shared" si="19"/>
        <v>0</v>
      </c>
      <c r="N427" s="107">
        <f t="shared" si="20"/>
        <v>80000</v>
      </c>
      <c r="O427" s="129"/>
      <c r="P427" s="112" t="s">
        <v>77</v>
      </c>
    </row>
    <row r="428" ht="38" customHeight="1" spans="1:16">
      <c r="A428" s="104">
        <v>424</v>
      </c>
      <c r="B428" s="104">
        <v>15.39</v>
      </c>
      <c r="C428" s="131" t="s">
        <v>953</v>
      </c>
      <c r="D428" s="115" t="s">
        <v>904</v>
      </c>
      <c r="E428" s="104" t="s">
        <v>64</v>
      </c>
      <c r="F428" s="106">
        <v>63.8</v>
      </c>
      <c r="G428" s="106"/>
      <c r="H428" s="106"/>
      <c r="I428" s="107">
        <v>1011.52</v>
      </c>
      <c r="J428" s="107">
        <v>0</v>
      </c>
      <c r="K428" s="107">
        <v>800</v>
      </c>
      <c r="L428" s="107">
        <f t="shared" si="18"/>
        <v>64534.976</v>
      </c>
      <c r="M428" s="107">
        <f t="shared" si="19"/>
        <v>0</v>
      </c>
      <c r="N428" s="107">
        <f t="shared" si="20"/>
        <v>51040</v>
      </c>
      <c r="O428" s="129"/>
      <c r="P428" s="112" t="s">
        <v>77</v>
      </c>
    </row>
    <row r="429" ht="38" customHeight="1" spans="1:16">
      <c r="A429" s="104">
        <v>425</v>
      </c>
      <c r="B429" s="106">
        <v>15.4</v>
      </c>
      <c r="C429" s="131" t="s">
        <v>954</v>
      </c>
      <c r="D429" s="115" t="s">
        <v>955</v>
      </c>
      <c r="E429" s="113" t="s">
        <v>72</v>
      </c>
      <c r="F429" s="106">
        <v>335</v>
      </c>
      <c r="G429" s="106"/>
      <c r="H429" s="106"/>
      <c r="I429" s="107">
        <v>88.508</v>
      </c>
      <c r="J429" s="107">
        <v>0</v>
      </c>
      <c r="K429" s="107">
        <v>20</v>
      </c>
      <c r="L429" s="107">
        <f t="shared" si="18"/>
        <v>29650.18</v>
      </c>
      <c r="M429" s="107">
        <f t="shared" si="19"/>
        <v>0</v>
      </c>
      <c r="N429" s="107">
        <f t="shared" si="20"/>
        <v>6700</v>
      </c>
      <c r="O429" s="129"/>
      <c r="P429" s="112" t="s">
        <v>77</v>
      </c>
    </row>
    <row r="430" ht="38" customHeight="1" spans="1:16">
      <c r="A430" s="104">
        <v>426</v>
      </c>
      <c r="B430" s="104">
        <v>15.41</v>
      </c>
      <c r="C430" s="131" t="s">
        <v>956</v>
      </c>
      <c r="D430" s="115" t="s">
        <v>947</v>
      </c>
      <c r="E430" s="104" t="s">
        <v>64</v>
      </c>
      <c r="F430" s="106">
        <v>5</v>
      </c>
      <c r="G430" s="106"/>
      <c r="H430" s="106"/>
      <c r="I430" s="107">
        <v>1011.52</v>
      </c>
      <c r="J430" s="107">
        <v>0</v>
      </c>
      <c r="K430" s="107">
        <v>800</v>
      </c>
      <c r="L430" s="107">
        <f t="shared" si="18"/>
        <v>5057.6</v>
      </c>
      <c r="M430" s="107">
        <f t="shared" si="19"/>
        <v>0</v>
      </c>
      <c r="N430" s="107">
        <f t="shared" si="20"/>
        <v>4000</v>
      </c>
      <c r="O430" s="129"/>
      <c r="P430" s="112" t="s">
        <v>77</v>
      </c>
    </row>
    <row r="431" ht="42" customHeight="1" spans="1:16">
      <c r="A431" s="104">
        <v>427</v>
      </c>
      <c r="B431" s="104">
        <v>15.42</v>
      </c>
      <c r="C431" s="131" t="s">
        <v>957</v>
      </c>
      <c r="D431" s="115" t="s">
        <v>904</v>
      </c>
      <c r="E431" s="104" t="s">
        <v>64</v>
      </c>
      <c r="F431" s="106">
        <v>15</v>
      </c>
      <c r="G431" s="106"/>
      <c r="H431" s="106"/>
      <c r="I431" s="107">
        <v>1011.52</v>
      </c>
      <c r="J431" s="107">
        <v>0</v>
      </c>
      <c r="K431" s="107">
        <v>800</v>
      </c>
      <c r="L431" s="107">
        <f t="shared" si="18"/>
        <v>15172.8</v>
      </c>
      <c r="M431" s="107">
        <f t="shared" si="19"/>
        <v>0</v>
      </c>
      <c r="N431" s="107">
        <f t="shared" si="20"/>
        <v>12000</v>
      </c>
      <c r="O431" s="129"/>
      <c r="P431" s="112" t="s">
        <v>77</v>
      </c>
    </row>
    <row r="432" ht="38" customHeight="1" spans="1:16">
      <c r="A432" s="104">
        <v>428</v>
      </c>
      <c r="B432" s="104">
        <v>15.43</v>
      </c>
      <c r="C432" s="131" t="s">
        <v>958</v>
      </c>
      <c r="D432" s="115" t="s">
        <v>904</v>
      </c>
      <c r="E432" s="104" t="s">
        <v>64</v>
      </c>
      <c r="F432" s="106">
        <v>17</v>
      </c>
      <c r="G432" s="106"/>
      <c r="H432" s="106"/>
      <c r="I432" s="107">
        <v>1011.52</v>
      </c>
      <c r="J432" s="107">
        <v>0</v>
      </c>
      <c r="K432" s="107">
        <v>800</v>
      </c>
      <c r="L432" s="107">
        <f t="shared" si="18"/>
        <v>17195.84</v>
      </c>
      <c r="M432" s="107">
        <f t="shared" si="19"/>
        <v>0</v>
      </c>
      <c r="N432" s="107">
        <f t="shared" si="20"/>
        <v>13600</v>
      </c>
      <c r="O432" s="129"/>
      <c r="P432" s="112" t="s">
        <v>77</v>
      </c>
    </row>
    <row r="433" ht="38" customHeight="1" spans="1:16">
      <c r="A433" s="104">
        <v>429</v>
      </c>
      <c r="B433" s="104">
        <v>15.44</v>
      </c>
      <c r="C433" s="131" t="s">
        <v>959</v>
      </c>
      <c r="D433" s="115" t="s">
        <v>904</v>
      </c>
      <c r="E433" s="113" t="s">
        <v>72</v>
      </c>
      <c r="F433" s="106">
        <v>950</v>
      </c>
      <c r="G433" s="106"/>
      <c r="H433" s="106"/>
      <c r="I433" s="107">
        <v>25.288</v>
      </c>
      <c r="J433" s="107">
        <v>0</v>
      </c>
      <c r="K433" s="107">
        <v>20</v>
      </c>
      <c r="L433" s="107">
        <f t="shared" si="18"/>
        <v>24023.6</v>
      </c>
      <c r="M433" s="107">
        <f t="shared" si="19"/>
        <v>0</v>
      </c>
      <c r="N433" s="107">
        <f t="shared" si="20"/>
        <v>19000</v>
      </c>
      <c r="O433" s="129"/>
      <c r="P433" s="112" t="s">
        <v>77</v>
      </c>
    </row>
    <row r="434" ht="38" customHeight="1" spans="1:16">
      <c r="A434" s="104">
        <v>430</v>
      </c>
      <c r="B434" s="104">
        <v>15.45</v>
      </c>
      <c r="C434" s="131" t="s">
        <v>960</v>
      </c>
      <c r="D434" s="115" t="s">
        <v>904</v>
      </c>
      <c r="E434" s="104" t="s">
        <v>64</v>
      </c>
      <c r="F434" s="106">
        <v>5</v>
      </c>
      <c r="G434" s="106"/>
      <c r="H434" s="106"/>
      <c r="I434" s="107">
        <v>1011.52</v>
      </c>
      <c r="J434" s="107">
        <v>0</v>
      </c>
      <c r="K434" s="107">
        <v>800</v>
      </c>
      <c r="L434" s="107">
        <f t="shared" si="18"/>
        <v>5057.6</v>
      </c>
      <c r="M434" s="107">
        <f t="shared" si="19"/>
        <v>0</v>
      </c>
      <c r="N434" s="107">
        <f t="shared" si="20"/>
        <v>4000</v>
      </c>
      <c r="O434" s="129"/>
      <c r="P434" s="112" t="s">
        <v>77</v>
      </c>
    </row>
    <row r="435" ht="38" customHeight="1" spans="1:16">
      <c r="A435" s="104">
        <v>431</v>
      </c>
      <c r="B435" s="104">
        <v>15.46</v>
      </c>
      <c r="C435" s="131" t="s">
        <v>946</v>
      </c>
      <c r="D435" s="115" t="s">
        <v>947</v>
      </c>
      <c r="E435" s="104" t="s">
        <v>64</v>
      </c>
      <c r="F435" s="106">
        <v>86.7629</v>
      </c>
      <c r="G435" s="106"/>
      <c r="H435" s="106"/>
      <c r="I435" s="107">
        <v>1011.52</v>
      </c>
      <c r="J435" s="107">
        <v>0</v>
      </c>
      <c r="K435" s="107">
        <v>800</v>
      </c>
      <c r="L435" s="107">
        <f t="shared" si="18"/>
        <v>87762.408608</v>
      </c>
      <c r="M435" s="107">
        <f t="shared" si="19"/>
        <v>0</v>
      </c>
      <c r="N435" s="107">
        <f t="shared" si="20"/>
        <v>69410.32</v>
      </c>
      <c r="O435" s="129"/>
      <c r="P435" s="112" t="s">
        <v>77</v>
      </c>
    </row>
    <row r="436" ht="38" customHeight="1" spans="1:16">
      <c r="A436" s="104">
        <v>432</v>
      </c>
      <c r="B436" s="104">
        <v>15.47</v>
      </c>
      <c r="C436" s="121" t="s">
        <v>961</v>
      </c>
      <c r="D436" s="115" t="s">
        <v>904</v>
      </c>
      <c r="E436" s="113" t="s">
        <v>59</v>
      </c>
      <c r="F436" s="106">
        <v>600</v>
      </c>
      <c r="G436" s="106"/>
      <c r="H436" s="106"/>
      <c r="I436" s="107">
        <v>214.948</v>
      </c>
      <c r="J436" s="107">
        <v>0</v>
      </c>
      <c r="K436" s="107">
        <v>20</v>
      </c>
      <c r="L436" s="107">
        <f t="shared" si="18"/>
        <v>128968.8</v>
      </c>
      <c r="M436" s="107">
        <f t="shared" si="19"/>
        <v>0</v>
      </c>
      <c r="N436" s="107">
        <f t="shared" si="20"/>
        <v>12000</v>
      </c>
      <c r="O436" s="129"/>
      <c r="P436" s="112" t="s">
        <v>77</v>
      </c>
    </row>
    <row r="437" ht="38" customHeight="1" spans="1:16">
      <c r="A437" s="104">
        <v>433</v>
      </c>
      <c r="B437" s="104">
        <v>15.48</v>
      </c>
      <c r="C437" s="131" t="s">
        <v>962</v>
      </c>
      <c r="D437" s="111" t="s">
        <v>904</v>
      </c>
      <c r="E437" s="113" t="s">
        <v>64</v>
      </c>
      <c r="F437" s="106">
        <v>10</v>
      </c>
      <c r="G437" s="106"/>
      <c r="H437" s="106"/>
      <c r="I437" s="107">
        <v>1011.52</v>
      </c>
      <c r="J437" s="107">
        <v>0</v>
      </c>
      <c r="K437" s="107">
        <v>800</v>
      </c>
      <c r="L437" s="107">
        <f t="shared" si="18"/>
        <v>10115.2</v>
      </c>
      <c r="M437" s="107">
        <f t="shared" si="19"/>
        <v>0</v>
      </c>
      <c r="N437" s="107">
        <f t="shared" si="20"/>
        <v>8000</v>
      </c>
      <c r="O437" s="129"/>
      <c r="P437" s="112" t="s">
        <v>77</v>
      </c>
    </row>
    <row r="438" ht="38" customHeight="1" spans="1:16">
      <c r="A438" s="104">
        <v>434</v>
      </c>
      <c r="B438" s="104">
        <v>15.49</v>
      </c>
      <c r="C438" s="131" t="s">
        <v>963</v>
      </c>
      <c r="D438" s="115"/>
      <c r="E438" s="113" t="s">
        <v>229</v>
      </c>
      <c r="F438" s="104">
        <v>1</v>
      </c>
      <c r="G438" s="106"/>
      <c r="H438" s="106"/>
      <c r="I438" s="107">
        <v>2023.04</v>
      </c>
      <c r="J438" s="107">
        <v>0</v>
      </c>
      <c r="K438" s="107">
        <v>1600</v>
      </c>
      <c r="L438" s="107">
        <f t="shared" si="18"/>
        <v>2023.04</v>
      </c>
      <c r="M438" s="107">
        <f t="shared" si="19"/>
        <v>0</v>
      </c>
      <c r="N438" s="107">
        <f t="shared" si="20"/>
        <v>1600</v>
      </c>
      <c r="O438" s="129"/>
      <c r="P438" s="112" t="s">
        <v>77</v>
      </c>
    </row>
    <row r="439" ht="38" customHeight="1" spans="1:16">
      <c r="A439" s="104">
        <v>435</v>
      </c>
      <c r="B439" s="106">
        <v>15.5</v>
      </c>
      <c r="C439" s="131" t="s">
        <v>964</v>
      </c>
      <c r="D439" s="115" t="s">
        <v>904</v>
      </c>
      <c r="E439" s="104" t="s">
        <v>59</v>
      </c>
      <c r="F439" s="106">
        <v>18</v>
      </c>
      <c r="G439" s="106"/>
      <c r="H439" s="106"/>
      <c r="I439" s="107">
        <v>214.948</v>
      </c>
      <c r="J439" s="107">
        <v>0</v>
      </c>
      <c r="K439" s="107">
        <v>20</v>
      </c>
      <c r="L439" s="107">
        <f t="shared" si="18"/>
        <v>3869.064</v>
      </c>
      <c r="M439" s="107">
        <f t="shared" si="19"/>
        <v>0</v>
      </c>
      <c r="N439" s="107">
        <f t="shared" si="20"/>
        <v>360</v>
      </c>
      <c r="O439" s="129"/>
      <c r="P439" s="112" t="s">
        <v>77</v>
      </c>
    </row>
    <row r="440" ht="38" customHeight="1" spans="1:16">
      <c r="A440" s="104">
        <v>436</v>
      </c>
      <c r="B440" s="104">
        <v>15.51</v>
      </c>
      <c r="C440" s="131" t="s">
        <v>965</v>
      </c>
      <c r="D440" s="115" t="s">
        <v>966</v>
      </c>
      <c r="E440" s="104" t="s">
        <v>59</v>
      </c>
      <c r="F440" s="106">
        <v>16</v>
      </c>
      <c r="G440" s="106"/>
      <c r="H440" s="106"/>
      <c r="I440" s="107">
        <v>151.728</v>
      </c>
      <c r="J440" s="107">
        <v>0</v>
      </c>
      <c r="K440" s="107">
        <v>20</v>
      </c>
      <c r="L440" s="107">
        <f t="shared" si="18"/>
        <v>2427.648</v>
      </c>
      <c r="M440" s="107">
        <f t="shared" si="19"/>
        <v>0</v>
      </c>
      <c r="N440" s="107">
        <f t="shared" si="20"/>
        <v>320</v>
      </c>
      <c r="O440" s="129"/>
      <c r="P440" s="112" t="s">
        <v>77</v>
      </c>
    </row>
    <row r="441" ht="38" customHeight="1" spans="1:16">
      <c r="A441" s="104">
        <v>437</v>
      </c>
      <c r="B441" s="104">
        <v>15.52</v>
      </c>
      <c r="C441" s="131" t="s">
        <v>967</v>
      </c>
      <c r="D441" s="111" t="s">
        <v>308</v>
      </c>
      <c r="E441" s="104" t="s">
        <v>229</v>
      </c>
      <c r="F441" s="104">
        <v>1</v>
      </c>
      <c r="G441" s="106"/>
      <c r="H441" s="106"/>
      <c r="I441" s="107">
        <v>50576</v>
      </c>
      <c r="J441" s="107">
        <v>0</v>
      </c>
      <c r="K441" s="107">
        <v>40000</v>
      </c>
      <c r="L441" s="107">
        <f t="shared" si="18"/>
        <v>50576</v>
      </c>
      <c r="M441" s="107">
        <f t="shared" si="19"/>
        <v>0</v>
      </c>
      <c r="N441" s="107">
        <f t="shared" si="20"/>
        <v>40000</v>
      </c>
      <c r="O441" s="129"/>
      <c r="P441" s="112" t="s">
        <v>77</v>
      </c>
    </row>
    <row r="442" ht="38" customHeight="1" spans="1:16">
      <c r="A442" s="104">
        <v>438</v>
      </c>
      <c r="B442" s="104">
        <v>15.53</v>
      </c>
      <c r="C442" s="131" t="s">
        <v>968</v>
      </c>
      <c r="D442" s="111" t="s">
        <v>904</v>
      </c>
      <c r="E442" s="104" t="s">
        <v>64</v>
      </c>
      <c r="F442" s="106">
        <v>2</v>
      </c>
      <c r="G442" s="106"/>
      <c r="H442" s="106"/>
      <c r="I442" s="107">
        <v>1011.52</v>
      </c>
      <c r="J442" s="107">
        <v>0</v>
      </c>
      <c r="K442" s="107">
        <v>800</v>
      </c>
      <c r="L442" s="107">
        <f t="shared" si="18"/>
        <v>2023.04</v>
      </c>
      <c r="M442" s="107">
        <f t="shared" si="19"/>
        <v>0</v>
      </c>
      <c r="N442" s="107">
        <f t="shared" si="20"/>
        <v>1600</v>
      </c>
      <c r="O442" s="129"/>
      <c r="P442" s="112" t="s">
        <v>77</v>
      </c>
    </row>
    <row r="443" ht="38" customHeight="1" spans="1:16">
      <c r="A443" s="104">
        <v>439</v>
      </c>
      <c r="B443" s="104">
        <v>15.54</v>
      </c>
      <c r="C443" s="131" t="s">
        <v>969</v>
      </c>
      <c r="D443" s="115" t="s">
        <v>955</v>
      </c>
      <c r="E443" s="113" t="s">
        <v>59</v>
      </c>
      <c r="F443" s="106">
        <v>6</v>
      </c>
      <c r="G443" s="106"/>
      <c r="H443" s="106"/>
      <c r="I443" s="107">
        <v>214.948</v>
      </c>
      <c r="J443" s="107">
        <v>0</v>
      </c>
      <c r="K443" s="107">
        <v>20</v>
      </c>
      <c r="L443" s="107">
        <f t="shared" si="18"/>
        <v>1289.688</v>
      </c>
      <c r="M443" s="107">
        <f t="shared" si="19"/>
        <v>0</v>
      </c>
      <c r="N443" s="107">
        <f t="shared" si="20"/>
        <v>120</v>
      </c>
      <c r="O443" s="129"/>
      <c r="P443" s="112" t="s">
        <v>77</v>
      </c>
    </row>
    <row r="444" ht="38" customHeight="1" spans="1:16">
      <c r="A444" s="104">
        <v>440</v>
      </c>
      <c r="B444" s="104">
        <v>15.55</v>
      </c>
      <c r="C444" s="131" t="s">
        <v>970</v>
      </c>
      <c r="D444" s="115" t="s">
        <v>971</v>
      </c>
      <c r="E444" s="113" t="s">
        <v>59</v>
      </c>
      <c r="F444" s="106">
        <v>210</v>
      </c>
      <c r="G444" s="106"/>
      <c r="H444" s="106"/>
      <c r="I444" s="107">
        <v>214.948</v>
      </c>
      <c r="J444" s="107">
        <v>0</v>
      </c>
      <c r="K444" s="107">
        <v>20</v>
      </c>
      <c r="L444" s="107">
        <f t="shared" si="18"/>
        <v>45139.08</v>
      </c>
      <c r="M444" s="107">
        <f t="shared" si="19"/>
        <v>0</v>
      </c>
      <c r="N444" s="107">
        <f t="shared" si="20"/>
        <v>4200</v>
      </c>
      <c r="O444" s="129"/>
      <c r="P444" s="112" t="s">
        <v>77</v>
      </c>
    </row>
    <row r="445" ht="66" customHeight="1" spans="1:16">
      <c r="A445" s="104">
        <v>441</v>
      </c>
      <c r="B445" s="104">
        <v>15.56</v>
      </c>
      <c r="C445" s="121" t="s">
        <v>972</v>
      </c>
      <c r="D445" s="115" t="s">
        <v>973</v>
      </c>
      <c r="E445" s="104" t="s">
        <v>951</v>
      </c>
      <c r="F445" s="104">
        <v>1</v>
      </c>
      <c r="G445" s="106"/>
      <c r="H445" s="106"/>
      <c r="I445" s="107">
        <v>6663.27610619469</v>
      </c>
      <c r="J445" s="107">
        <v>2000</v>
      </c>
      <c r="K445" s="107">
        <v>3500</v>
      </c>
      <c r="L445" s="107">
        <f t="shared" si="18"/>
        <v>6663.27610619469</v>
      </c>
      <c r="M445" s="107">
        <f>F445*J445-374</f>
        <v>1626</v>
      </c>
      <c r="N445" s="107">
        <f t="shared" si="20"/>
        <v>3500</v>
      </c>
      <c r="O445" s="129"/>
      <c r="P445" s="112" t="s">
        <v>77</v>
      </c>
    </row>
    <row r="446" ht="38" customHeight="1" spans="1:16">
      <c r="A446" s="104">
        <v>442</v>
      </c>
      <c r="B446" s="104">
        <v>15.57</v>
      </c>
      <c r="C446" s="131" t="s">
        <v>974</v>
      </c>
      <c r="D446" s="111" t="s">
        <v>975</v>
      </c>
      <c r="E446" s="104" t="s">
        <v>229</v>
      </c>
      <c r="F446" s="104">
        <v>2</v>
      </c>
      <c r="G446" s="106"/>
      <c r="H446" s="106"/>
      <c r="I446" s="107">
        <v>8218.6</v>
      </c>
      <c r="J446" s="107">
        <v>0</v>
      </c>
      <c r="K446" s="107">
        <v>6500</v>
      </c>
      <c r="L446" s="107">
        <f t="shared" si="18"/>
        <v>16437.2</v>
      </c>
      <c r="M446" s="107">
        <f t="shared" si="19"/>
        <v>0</v>
      </c>
      <c r="N446" s="107">
        <f t="shared" si="20"/>
        <v>13000</v>
      </c>
      <c r="O446" s="129"/>
      <c r="P446" s="112" t="s">
        <v>77</v>
      </c>
    </row>
    <row r="447" ht="38" customHeight="1" spans="1:16">
      <c r="A447" s="104">
        <v>443</v>
      </c>
      <c r="B447" s="104">
        <v>16</v>
      </c>
      <c r="C447" s="131" t="s">
        <v>976</v>
      </c>
      <c r="D447" s="115" t="s">
        <v>977</v>
      </c>
      <c r="E447" s="113" t="s">
        <v>951</v>
      </c>
      <c r="F447" s="104">
        <v>1</v>
      </c>
      <c r="G447" s="106"/>
      <c r="H447" s="106"/>
      <c r="I447" s="107">
        <v>25288</v>
      </c>
      <c r="J447" s="107">
        <v>0</v>
      </c>
      <c r="K447" s="107">
        <v>20000</v>
      </c>
      <c r="L447" s="107">
        <f t="shared" si="18"/>
        <v>25288</v>
      </c>
      <c r="M447" s="107">
        <f t="shared" si="19"/>
        <v>0</v>
      </c>
      <c r="N447" s="107">
        <f t="shared" si="20"/>
        <v>20000</v>
      </c>
      <c r="O447" s="129"/>
      <c r="P447" s="112" t="s">
        <v>978</v>
      </c>
    </row>
    <row r="448" ht="38" customHeight="1" spans="1:16">
      <c r="A448" s="104"/>
      <c r="B448" s="104"/>
      <c r="C448" s="121"/>
      <c r="D448" s="111"/>
      <c r="E448" s="104"/>
      <c r="F448" s="104"/>
      <c r="G448" s="106"/>
      <c r="H448" s="106"/>
      <c r="I448" s="110"/>
      <c r="J448" s="110"/>
      <c r="K448" s="110"/>
      <c r="L448" s="164">
        <f>ROUND(L4+L69+L112+L126+L135+L147+L162+L257+L267+L300+L320+L338+L356+L377+L389+L447,0)</f>
        <v>18468000</v>
      </c>
      <c r="M448" s="164">
        <f>ROUND(M4+M69+M112+M126+M135+M147+M162+M257+M267+M300+M320+M338+M356+M377+M389+M447,0)</f>
        <v>6538000</v>
      </c>
      <c r="N448" s="164">
        <f>ROUND(N4+N69+N112+N126+N135+N147+N162+N257+N267+N300+N320+N338+N356+N377+N389+N447,0)</f>
        <v>5465617</v>
      </c>
      <c r="O448" s="129"/>
      <c r="P448" s="112"/>
    </row>
  </sheetData>
  <protectedRanges>
    <protectedRange sqref="D182:D253" name="区域1_7_3_2"/>
    <protectedRange sqref="C280:C283" name="区域1_2_2_1_1_5_1_1_1"/>
    <protectedRange sqref="D297:D299" name="区域1_7_3_2_1_1"/>
    <protectedRange sqref="C270" name="区域1_1_1"/>
    <protectedRange sqref="C271" name="区域1_15_1_1_1"/>
    <protectedRange sqref="C272" name="区域1_15_1_1_1_1"/>
    <protectedRange sqref="C273" name="区域1_15_1_1_1_3"/>
    <protectedRange sqref="C269" name="区域1_16_1_2"/>
    <protectedRange sqref="D270:E270 E271:E272" name="区域1_1_1_1"/>
    <protectedRange sqref="D271" name="区域1_15_1_1_1_2"/>
    <protectedRange sqref="D272" name="区域1_15_1_1_1_1_2"/>
    <protectedRange sqref="D273:E273" name="区域1_15_1_1_1_3_1"/>
    <protectedRange sqref="D182:D188 D201:D205" name="区域1_7_3_1"/>
    <protectedRange sqref="D190" name="区域1_7_3_1_1"/>
    <protectedRange sqref="D206 D196:D200" name="区域1_7_3_2_1"/>
    <protectedRange sqref="D191:D194" name="区域1_7_3_1_1_1"/>
    <protectedRange sqref="D207 D209:D212" name="区域1_8_2_1_2_1"/>
    <protectedRange sqref="D208" name="区域1_1_2_5_1"/>
    <protectedRange sqref="C255:C256" name="区域1_2_2_1_1_5_1_1_1_1"/>
    <protectedRange sqref="D180:D181" name="区域1_7_3_2_1_1_1"/>
    <protectedRange sqref="C246" name="区域1_16_1_2_1"/>
    <protectedRange sqref="D237" name="区域1_2_3_1_1"/>
    <protectedRange sqref="D238:D241" name="区域1_2_4_1_1"/>
    <protectedRange sqref="C149:D157" name="区域1_1_2_1_1"/>
  </protectedRanges>
  <autoFilter xmlns:etc="http://www.wps.cn/officeDocument/2017/etCustomData" ref="A1:P448" etc:filterBottomFollowUsedRange="0">
    <extLst/>
  </autoFilter>
  <mergeCells count="17">
    <mergeCell ref="G1:H1"/>
    <mergeCell ref="I1:K1"/>
    <mergeCell ref="L1:N1"/>
    <mergeCell ref="J2:K2"/>
    <mergeCell ref="M2:N2"/>
    <mergeCell ref="A1:A3"/>
    <mergeCell ref="B1:B3"/>
    <mergeCell ref="C1:C3"/>
    <mergeCell ref="D1:D3"/>
    <mergeCell ref="E1:E3"/>
    <mergeCell ref="F1:F3"/>
    <mergeCell ref="G2:G3"/>
    <mergeCell ref="H2:H3"/>
    <mergeCell ref="I2:I3"/>
    <mergeCell ref="L2:L3"/>
    <mergeCell ref="O1:O2"/>
    <mergeCell ref="P1:P3"/>
  </mergeCells>
  <printOptions horizontalCentered="1"/>
  <pageMargins left="0.708661417322835" right="0.708661417322835" top="0.748031496062992" bottom="0.748031496062992" header="0.31496062992126" footer="0.31496062992126"/>
  <pageSetup paperSize="13" scale="56" orientation="landscape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6"/>
  <sheetViews>
    <sheetView zoomScale="80" zoomScaleNormal="80" workbookViewId="0">
      <selection activeCell="G15" sqref="G15"/>
    </sheetView>
  </sheetViews>
  <sheetFormatPr defaultColWidth="9" defaultRowHeight="13.5"/>
  <cols>
    <col min="1" max="1" width="5.86666666666667" style="76" customWidth="1"/>
    <col min="2" max="2" width="9.63333333333333" style="76" customWidth="1"/>
    <col min="3" max="3" width="8.5" style="76" customWidth="1"/>
    <col min="4" max="5" width="5" style="76" customWidth="1"/>
    <col min="6" max="6" width="6" style="76" customWidth="1"/>
    <col min="7" max="7" width="9" style="76"/>
    <col min="8" max="8" width="11.8666666666667" style="76" customWidth="1"/>
    <col min="9" max="9" width="12.8666666666667" style="76" customWidth="1"/>
    <col min="10" max="10" width="7.75" style="76" customWidth="1"/>
    <col min="11" max="12" width="9" style="76"/>
    <col min="13" max="13" width="13" style="76" customWidth="1"/>
    <col min="14" max="16384" width="9" style="76"/>
  </cols>
  <sheetData>
    <row r="1" ht="39" customHeight="1" spans="1:13">
      <c r="A1" s="30" t="s">
        <v>979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ht="39" customHeight="1" spans="1:13">
      <c r="A2" s="77" t="s">
        <v>980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="74" customFormat="1" ht="15" customHeight="1" spans="1:13">
      <c r="A3" s="80" t="s">
        <v>981</v>
      </c>
      <c r="B3" s="81" t="s">
        <v>982</v>
      </c>
      <c r="C3" s="80" t="s">
        <v>983</v>
      </c>
      <c r="D3" s="80" t="s">
        <v>984</v>
      </c>
      <c r="E3" s="80" t="s">
        <v>985</v>
      </c>
      <c r="F3" s="80"/>
      <c r="G3" s="80" t="s">
        <v>41</v>
      </c>
      <c r="H3" s="80"/>
      <c r="I3" s="80"/>
      <c r="J3" s="81" t="s">
        <v>986</v>
      </c>
      <c r="K3" s="81"/>
      <c r="L3" s="81"/>
      <c r="M3" s="81" t="s">
        <v>987</v>
      </c>
    </row>
    <row r="4" s="74" customFormat="1" ht="15" customHeight="1" spans="1:13">
      <c r="A4" s="80"/>
      <c r="B4" s="81"/>
      <c r="C4" s="80"/>
      <c r="D4" s="80"/>
      <c r="E4" s="80" t="s">
        <v>988</v>
      </c>
      <c r="F4" s="80" t="s">
        <v>989</v>
      </c>
      <c r="G4" s="82" t="s">
        <v>990</v>
      </c>
      <c r="H4" s="82" t="s">
        <v>991</v>
      </c>
      <c r="I4" s="83"/>
      <c r="J4" s="81" t="s">
        <v>992</v>
      </c>
      <c r="K4" s="81" t="s">
        <v>993</v>
      </c>
      <c r="L4" s="83" t="s">
        <v>994</v>
      </c>
      <c r="M4" s="81"/>
    </row>
    <row r="5" s="74" customFormat="1" spans="1:13">
      <c r="A5" s="80"/>
      <c r="B5" s="81"/>
      <c r="C5" s="80"/>
      <c r="D5" s="80"/>
      <c r="E5" s="80"/>
      <c r="F5" s="80"/>
      <c r="G5" s="84"/>
      <c r="H5" s="84"/>
      <c r="I5" s="83" t="s">
        <v>994</v>
      </c>
      <c r="J5" s="81"/>
      <c r="K5" s="81"/>
      <c r="L5" s="83" t="s">
        <v>995</v>
      </c>
      <c r="M5" s="81"/>
    </row>
    <row r="6" s="74" customFormat="1" spans="1:13">
      <c r="A6" s="80"/>
      <c r="B6" s="81"/>
      <c r="C6" s="80"/>
      <c r="D6" s="80"/>
      <c r="E6" s="80"/>
      <c r="F6" s="80"/>
      <c r="G6" s="85"/>
      <c r="H6" s="85"/>
      <c r="I6" s="83" t="s">
        <v>995</v>
      </c>
      <c r="J6" s="81"/>
      <c r="K6" s="81"/>
      <c r="L6" s="86"/>
      <c r="M6" s="81"/>
    </row>
    <row r="7" s="75" customFormat="1" ht="12" spans="1:13">
      <c r="A7" s="87"/>
      <c r="B7" s="87" t="s">
        <v>996</v>
      </c>
      <c r="C7" s="87"/>
      <c r="D7" s="87"/>
      <c r="E7" s="88"/>
      <c r="F7" s="88"/>
      <c r="G7" s="89"/>
      <c r="H7" s="90"/>
      <c r="I7" s="91"/>
      <c r="J7" s="89"/>
      <c r="K7" s="89"/>
      <c r="L7" s="92"/>
      <c r="M7" s="92"/>
    </row>
    <row r="8" s="75" customFormat="1" ht="12" spans="1:13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</row>
    <row r="9" s="75" customFormat="1" ht="12" spans="1:13">
      <c r="A9" s="93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</row>
    <row r="10" s="75" customFormat="1" ht="12" spans="1:13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</row>
    <row r="11" s="75" customFormat="1" ht="12" spans="1:13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</row>
    <row r="12" s="75" customFormat="1" ht="12" spans="1:13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</row>
    <row r="13" s="75" customFormat="1" ht="12" spans="1:13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</row>
    <row r="14" s="75" customFormat="1" ht="12" spans="1:13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</row>
    <row r="15" s="75" customFormat="1" ht="55.5" customHeight="1" spans="1:13">
      <c r="A15" s="93"/>
      <c r="B15" s="93" t="s">
        <v>997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</row>
    <row r="16" s="75" customFormat="1" ht="23.25" customHeight="1" spans="1:13">
      <c r="A16" s="94" t="s">
        <v>998</v>
      </c>
    </row>
  </sheetData>
  <mergeCells count="16">
    <mergeCell ref="A1:M1"/>
    <mergeCell ref="A2:M2"/>
    <mergeCell ref="E3:F3"/>
    <mergeCell ref="G3:I3"/>
    <mergeCell ref="J3:L3"/>
    <mergeCell ref="A3:A6"/>
    <mergeCell ref="B3:B6"/>
    <mergeCell ref="C3:C6"/>
    <mergeCell ref="D3:D6"/>
    <mergeCell ref="E4:E6"/>
    <mergeCell ref="F4:F6"/>
    <mergeCell ref="G4:G6"/>
    <mergeCell ref="H4:H6"/>
    <mergeCell ref="J4:J6"/>
    <mergeCell ref="K4:K6"/>
    <mergeCell ref="M3:M6"/>
  </mergeCells>
  <pageMargins left="0.7" right="0.7" top="0.75" bottom="0.75" header="0.3" footer="0.3"/>
  <pageSetup paperSize="9" scale="79" firstPageNumber="17" fitToHeight="0" orientation="portrait" useFirstPageNumber="1"/>
  <headerFooter>
    <oddFooter>&amp;C第 &amp;P 页，共28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8"/>
  <sheetViews>
    <sheetView workbookViewId="0">
      <selection activeCell="B15" sqref="B15"/>
    </sheetView>
  </sheetViews>
  <sheetFormatPr defaultColWidth="9" defaultRowHeight="13.5" outlineLevelCol="6"/>
  <cols>
    <col min="1" max="1" width="9.25" style="64" customWidth="1"/>
    <col min="2" max="2" width="22" style="64" customWidth="1"/>
    <col min="3" max="3" width="13.8666666666667" style="64" customWidth="1"/>
    <col min="4" max="4" width="17.5" style="64" customWidth="1"/>
    <col min="5" max="16384" width="9" style="64"/>
  </cols>
  <sheetData>
    <row r="1" s="63" customFormat="1" ht="37.5" customHeight="1" spans="1:4">
      <c r="A1" s="45" t="s">
        <v>999</v>
      </c>
      <c r="B1" s="46"/>
      <c r="C1" s="46"/>
      <c r="D1" s="47"/>
    </row>
    <row r="2" s="63" customFormat="1" ht="33.75" customHeight="1" spans="1:4">
      <c r="A2" s="65" t="s">
        <v>1000</v>
      </c>
      <c r="B2" s="66"/>
      <c r="C2" s="66"/>
      <c r="D2" s="67"/>
    </row>
    <row r="3" s="63" customFormat="1" ht="20.1" customHeight="1" spans="1:4">
      <c r="A3" s="68" t="s">
        <v>981</v>
      </c>
      <c r="B3" s="68" t="s">
        <v>1001</v>
      </c>
      <c r="C3" s="68" t="s">
        <v>1002</v>
      </c>
      <c r="D3" s="68" t="s">
        <v>1003</v>
      </c>
    </row>
    <row r="4" ht="20.1" customHeight="1" spans="1:4">
      <c r="A4" s="69" t="s">
        <v>996</v>
      </c>
      <c r="B4" s="69"/>
      <c r="C4" s="69"/>
      <c r="D4" s="69"/>
    </row>
    <row r="5" ht="20.1" customHeight="1" spans="1:4">
      <c r="A5" s="69"/>
      <c r="B5" s="69"/>
      <c r="C5" s="69"/>
      <c r="D5" s="69"/>
    </row>
    <row r="6" ht="20.1" customHeight="1" spans="1:4">
      <c r="A6" s="69"/>
      <c r="B6" s="69"/>
      <c r="C6" s="69"/>
      <c r="D6" s="69"/>
    </row>
    <row r="7" ht="20.1" customHeight="1" spans="1:4">
      <c r="A7" s="69"/>
      <c r="B7" s="69"/>
      <c r="C7" s="69"/>
      <c r="D7" s="69"/>
    </row>
    <row r="8" ht="20.1" customHeight="1" spans="1:4">
      <c r="A8" s="69"/>
      <c r="B8" s="69"/>
      <c r="C8" s="69"/>
      <c r="D8" s="69"/>
    </row>
    <row r="9" ht="20.1" customHeight="1" spans="1:4">
      <c r="A9" s="69"/>
      <c r="B9" s="69"/>
      <c r="C9" s="69"/>
      <c r="D9" s="69"/>
    </row>
    <row r="10" ht="20.1" customHeight="1" spans="1:4">
      <c r="A10" s="69"/>
      <c r="B10" s="69"/>
      <c r="C10" s="69"/>
      <c r="D10" s="69"/>
    </row>
    <row r="11" ht="20.1" customHeight="1" spans="1:4">
      <c r="A11" s="70" t="s">
        <v>1004</v>
      </c>
      <c r="B11" s="69"/>
      <c r="C11" s="69"/>
      <c r="D11" s="69"/>
    </row>
    <row r="12" ht="20.1" customHeight="1" spans="1:4">
      <c r="A12" s="71" t="s">
        <v>1005</v>
      </c>
      <c r="B12" s="69"/>
      <c r="C12" s="69"/>
      <c r="D12" s="69"/>
    </row>
    <row r="13" ht="20.1" customHeight="1" spans="1:4">
      <c r="A13" s="71" t="s">
        <v>1006</v>
      </c>
      <c r="B13" s="72"/>
      <c r="C13" s="72"/>
      <c r="D13" s="72"/>
    </row>
    <row r="14" ht="20.1" customHeight="1" spans="1:4">
      <c r="A14" s="70" t="s">
        <v>1007</v>
      </c>
      <c r="B14" s="69"/>
      <c r="C14" s="69"/>
      <c r="D14" s="69"/>
    </row>
    <row r="15" ht="20.1" customHeight="1" spans="1:4">
      <c r="A15" s="3" t="s">
        <v>1008</v>
      </c>
    </row>
    <row r="16" ht="20.1" customHeight="1" spans="1:4">
      <c r="A16" s="73" t="s">
        <v>1009</v>
      </c>
    </row>
    <row r="17" ht="20.1" customHeight="1" spans="1:7">
      <c r="A17" s="73" t="s">
        <v>1010</v>
      </c>
    </row>
    <row r="18" s="43" customFormat="1" customHeight="1" spans="1:7">
      <c r="A18" s="3" t="s">
        <v>1011</v>
      </c>
      <c r="B18" s="3"/>
      <c r="C18" s="3"/>
      <c r="D18" s="3"/>
      <c r="E18" s="3"/>
      <c r="F18" s="3"/>
      <c r="G18" s="3"/>
    </row>
  </sheetData>
  <mergeCells count="8">
    <mergeCell ref="A1:D1"/>
    <mergeCell ref="A2:D2"/>
    <mergeCell ref="A11:D11"/>
    <mergeCell ref="B12:D12"/>
    <mergeCell ref="B13:D13"/>
    <mergeCell ref="A14:D14"/>
    <mergeCell ref="A18:G18"/>
    <mergeCell ref="A4:D10"/>
  </mergeCells>
  <pageMargins left="0.7" right="0.7" top="0.75" bottom="0.75" header="0.3" footer="0.3"/>
  <pageSetup paperSize="9" scale="99" firstPageNumber="18" fitToHeight="0" orientation="portrait" useFirstPageNumber="1"/>
  <headerFooter>
    <oddFooter>&amp;C第 &amp;P 页，共28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7"/>
  <sheetViews>
    <sheetView showZeros="0" workbookViewId="0">
      <selection activeCell="G5" sqref="G5"/>
    </sheetView>
  </sheetViews>
  <sheetFormatPr defaultColWidth="9" defaultRowHeight="13.5" outlineLevelCol="7"/>
  <cols>
    <col min="1" max="1" width="17.75" style="44" customWidth="1"/>
    <col min="2" max="2" width="9" style="44"/>
    <col min="3" max="3" width="21.1333333333333" style="44" customWidth="1"/>
    <col min="4" max="5" width="5.75" style="44" customWidth="1"/>
    <col min="6" max="7" width="10.8666666666667" style="44" customWidth="1"/>
    <col min="8" max="8" width="12.1333333333333" style="44" customWidth="1"/>
    <col min="9" max="16384" width="9" style="44"/>
  </cols>
  <sheetData>
    <row r="1" s="41" customFormat="1" ht="30" customHeight="1" spans="1:8">
      <c r="A1" s="45" t="s">
        <v>1012</v>
      </c>
      <c r="B1" s="46"/>
      <c r="C1" s="46"/>
      <c r="D1" s="46"/>
      <c r="E1" s="46"/>
      <c r="F1" s="46"/>
      <c r="G1" s="46"/>
      <c r="H1" s="47"/>
    </row>
    <row r="2" s="42" customFormat="1" spans="1:8">
      <c r="A2" s="30" t="s">
        <v>1013</v>
      </c>
      <c r="B2" s="30" t="s">
        <v>981</v>
      </c>
      <c r="C2" s="30" t="s">
        <v>982</v>
      </c>
      <c r="D2" s="30" t="s">
        <v>984</v>
      </c>
      <c r="E2" s="30" t="s">
        <v>1014</v>
      </c>
      <c r="F2" s="30" t="s">
        <v>1015</v>
      </c>
      <c r="G2" s="30" t="s">
        <v>42</v>
      </c>
      <c r="H2" s="30" t="s">
        <v>1003</v>
      </c>
    </row>
    <row r="3" ht="15.75" customHeight="1" spans="1:8">
      <c r="A3" s="48" t="s">
        <v>1016</v>
      </c>
      <c r="B3" s="49">
        <v>1</v>
      </c>
      <c r="C3" s="50" t="s">
        <v>1017</v>
      </c>
      <c r="D3" s="51"/>
      <c r="E3" s="51"/>
      <c r="F3" s="51"/>
      <c r="G3" s="52">
        <f>G14*0.15</f>
        <v>186988.5</v>
      </c>
      <c r="H3" s="53"/>
    </row>
    <row r="4" ht="16" customHeight="1" spans="1:8">
      <c r="A4" s="54"/>
      <c r="B4" s="49"/>
      <c r="C4" s="55" t="s">
        <v>1018</v>
      </c>
      <c r="D4" s="51"/>
      <c r="E4" s="51"/>
      <c r="F4" s="51"/>
      <c r="G4" s="52"/>
      <c r="H4" s="53"/>
    </row>
    <row r="5" ht="29.25" customHeight="1" spans="1:8">
      <c r="A5" s="54"/>
      <c r="B5" s="49">
        <v>2</v>
      </c>
      <c r="C5" s="56" t="s">
        <v>1019</v>
      </c>
      <c r="D5" s="51"/>
      <c r="E5" s="51"/>
      <c r="F5" s="51"/>
      <c r="G5" s="52">
        <f>G14*0.3</f>
        <v>373977</v>
      </c>
      <c r="H5" s="57" t="s">
        <v>1020</v>
      </c>
    </row>
    <row r="6" ht="14.25" spans="1:8">
      <c r="A6" s="54"/>
      <c r="B6" s="49"/>
      <c r="C6" s="50"/>
      <c r="D6" s="51"/>
      <c r="E6" s="51"/>
      <c r="F6" s="51"/>
      <c r="G6" s="52"/>
      <c r="H6" s="53"/>
    </row>
    <row r="7" ht="14.25" spans="1:8">
      <c r="A7" s="54"/>
      <c r="B7" s="49"/>
      <c r="C7" s="50"/>
      <c r="D7" s="51"/>
      <c r="E7" s="51"/>
      <c r="F7" s="51"/>
      <c r="G7" s="52"/>
      <c r="H7" s="53"/>
    </row>
    <row r="8" ht="14.25" spans="1:8">
      <c r="A8" s="54"/>
      <c r="B8" s="49">
        <v>3</v>
      </c>
      <c r="C8" s="50" t="s">
        <v>1021</v>
      </c>
      <c r="D8" s="51"/>
      <c r="E8" s="51"/>
      <c r="F8" s="51"/>
      <c r="G8" s="52">
        <f>G14*0.3</f>
        <v>373977</v>
      </c>
      <c r="H8" s="53"/>
    </row>
    <row r="9" ht="14.25" spans="1:8">
      <c r="A9" s="54"/>
      <c r="B9" s="49"/>
      <c r="C9" s="55" t="s">
        <v>1022</v>
      </c>
      <c r="D9" s="51"/>
      <c r="E9" s="51"/>
      <c r="F9" s="51"/>
      <c r="G9" s="52"/>
      <c r="H9" s="53"/>
    </row>
    <row r="10" ht="43.5" customHeight="1" spans="1:8">
      <c r="A10" s="54"/>
      <c r="B10" s="49"/>
      <c r="C10" s="55" t="s">
        <v>1023</v>
      </c>
      <c r="D10" s="51"/>
      <c r="E10" s="51"/>
      <c r="F10" s="51"/>
      <c r="G10" s="52"/>
      <c r="H10" s="53"/>
    </row>
    <row r="11" ht="14.25" spans="1:8">
      <c r="A11" s="54"/>
      <c r="B11" s="49">
        <v>4</v>
      </c>
      <c r="C11" s="50" t="s">
        <v>1024</v>
      </c>
      <c r="D11" s="51"/>
      <c r="E11" s="51"/>
      <c r="F11" s="51"/>
      <c r="G11" s="52">
        <f>G14*0.25</f>
        <v>311647.5</v>
      </c>
      <c r="H11" s="53"/>
    </row>
    <row r="12" ht="14.25" spans="1:8">
      <c r="A12" s="54"/>
      <c r="B12" s="49"/>
      <c r="C12" s="55" t="s">
        <v>1025</v>
      </c>
      <c r="D12" s="51"/>
      <c r="E12" s="51"/>
      <c r="F12" s="51"/>
      <c r="G12" s="58"/>
      <c r="H12" s="53"/>
    </row>
    <row r="13" ht="14.25" spans="1:8">
      <c r="A13" s="54"/>
      <c r="B13" s="49"/>
      <c r="C13" s="55" t="s">
        <v>1026</v>
      </c>
      <c r="D13" s="51"/>
      <c r="E13" s="51"/>
      <c r="F13" s="51"/>
      <c r="G13" s="58"/>
      <c r="H13" s="53"/>
    </row>
    <row r="14" ht="14.25" spans="1:8">
      <c r="A14" s="59"/>
      <c r="B14" s="49"/>
      <c r="C14" s="60" t="s">
        <v>1005</v>
      </c>
      <c r="D14" s="60"/>
      <c r="E14" s="60"/>
      <c r="F14" s="60"/>
      <c r="G14" s="61">
        <f>ROUND(表1汇总表!D21,0)</f>
        <v>1246590</v>
      </c>
      <c r="H14" s="60"/>
    </row>
    <row r="15" ht="24.75" customHeight="1" spans="1:8">
      <c r="A15" s="62" t="s">
        <v>1009</v>
      </c>
    </row>
    <row r="16" ht="30" customHeight="1" spans="1:8">
      <c r="A16" s="62" t="s">
        <v>1010</v>
      </c>
    </row>
    <row r="17" s="43" customFormat="1" customHeight="1" spans="1:7">
      <c r="A17" s="3" t="s">
        <v>1027</v>
      </c>
      <c r="B17" s="3"/>
      <c r="C17" s="3"/>
      <c r="D17" s="3"/>
      <c r="E17" s="3"/>
      <c r="F17" s="3"/>
      <c r="G17" s="3"/>
    </row>
  </sheetData>
  <mergeCells count="3">
    <mergeCell ref="A1:H1"/>
    <mergeCell ref="A17:G17"/>
    <mergeCell ref="A3:A14"/>
  </mergeCells>
  <pageMargins left="0.7" right="0.7" top="0.75" bottom="0.75" header="0.3" footer="0.3"/>
  <pageSetup paperSize="9" scale="95" firstPageNumber="19" fitToHeight="0" orientation="portrait" useFirstPageNumber="1"/>
  <headerFooter>
    <oddFooter>&amp;C第 &amp;P 页，共28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62"/>
  <sheetViews>
    <sheetView showZeros="0" topLeftCell="A39" workbookViewId="0">
      <selection activeCell="F64" sqref="F64"/>
    </sheetView>
  </sheetViews>
  <sheetFormatPr defaultColWidth="8.75" defaultRowHeight="13.5" outlineLevelCol="6"/>
  <cols>
    <col min="1" max="1" width="45.25" style="2" customWidth="1"/>
    <col min="2" max="2" width="18.6333333333333" style="3" customWidth="1"/>
    <col min="3" max="3" width="19.8666666666667" style="4" customWidth="1"/>
    <col min="4" max="4" width="8.13333333333333" style="5" customWidth="1"/>
    <col min="5" max="5" width="9.75" style="5" customWidth="1"/>
    <col min="6" max="6" width="14.25" style="5" customWidth="1"/>
    <col min="7" max="7" width="12.75" style="4" customWidth="1"/>
    <col min="8" max="16384" width="8.75" style="3"/>
  </cols>
  <sheetData>
    <row r="1" ht="15.75" spans="1:7">
      <c r="A1" s="6" t="s">
        <v>1028</v>
      </c>
      <c r="B1" s="7"/>
      <c r="C1" s="7"/>
      <c r="D1" s="8"/>
      <c r="E1" s="8"/>
      <c r="F1" s="8"/>
      <c r="G1" s="7"/>
    </row>
    <row r="2" ht="14.25" spans="1:7">
      <c r="A2" s="9" t="s">
        <v>1029</v>
      </c>
      <c r="B2" s="9"/>
      <c r="C2" s="9"/>
      <c r="D2" s="10"/>
      <c r="E2" s="10"/>
      <c r="F2" s="10"/>
      <c r="G2" s="9"/>
    </row>
    <row r="3" spans="1:7">
      <c r="A3" s="11" t="s">
        <v>1030</v>
      </c>
      <c r="B3" s="11" t="s">
        <v>1031</v>
      </c>
      <c r="C3" s="11" t="s">
        <v>984</v>
      </c>
      <c r="D3" s="12" t="s">
        <v>1014</v>
      </c>
      <c r="E3" s="12" t="s">
        <v>41</v>
      </c>
      <c r="F3" s="12" t="s">
        <v>1032</v>
      </c>
      <c r="G3" s="11" t="s">
        <v>1003</v>
      </c>
    </row>
    <row r="4" ht="15.75" spans="1:7">
      <c r="A4" s="13" t="s">
        <v>1033</v>
      </c>
      <c r="B4" s="14" t="s">
        <v>1034</v>
      </c>
      <c r="C4" s="15" t="s">
        <v>1035</v>
      </c>
      <c r="D4" s="16">
        <v>450</v>
      </c>
      <c r="E4" s="17">
        <v>65</v>
      </c>
      <c r="F4" s="17">
        <f t="shared" ref="F4:F7" si="0">E4*D4</f>
        <v>29250</v>
      </c>
      <c r="G4" s="18"/>
    </row>
    <row r="5" ht="16.5" spans="1:7">
      <c r="A5" s="19"/>
      <c r="B5" s="14" t="s">
        <v>1036</v>
      </c>
      <c r="C5" s="15" t="s">
        <v>1037</v>
      </c>
      <c r="D5" s="16">
        <v>100</v>
      </c>
      <c r="E5" s="17">
        <v>150</v>
      </c>
      <c r="F5" s="17">
        <f t="shared" si="0"/>
        <v>15000</v>
      </c>
      <c r="G5" s="18"/>
    </row>
    <row r="6" ht="16.5" spans="1:7">
      <c r="A6" s="19"/>
      <c r="B6" s="14" t="s">
        <v>1038</v>
      </c>
      <c r="C6" s="15" t="s">
        <v>1037</v>
      </c>
      <c r="D6" s="20">
        <v>807</v>
      </c>
      <c r="E6" s="20">
        <v>15</v>
      </c>
      <c r="F6" s="17">
        <f t="shared" si="0"/>
        <v>12105</v>
      </c>
      <c r="G6" s="18"/>
    </row>
    <row r="7" ht="16.5" spans="1:7">
      <c r="A7" s="19"/>
      <c r="B7" s="14" t="s">
        <v>1039</v>
      </c>
      <c r="C7" s="15" t="s">
        <v>1037</v>
      </c>
      <c r="D7" s="20">
        <v>200</v>
      </c>
      <c r="E7" s="20">
        <v>10</v>
      </c>
      <c r="F7" s="17">
        <f t="shared" si="0"/>
        <v>2000</v>
      </c>
      <c r="G7" s="18"/>
    </row>
    <row r="8" ht="15.75" spans="1:7">
      <c r="A8" s="19"/>
      <c r="B8" s="14" t="s">
        <v>1040</v>
      </c>
      <c r="C8" s="11" t="s">
        <v>225</v>
      </c>
      <c r="D8" s="16"/>
      <c r="E8" s="17"/>
      <c r="F8" s="17"/>
      <c r="G8" s="18"/>
    </row>
    <row r="9" ht="15.75" spans="1:7">
      <c r="A9" s="19"/>
      <c r="B9" s="14" t="s">
        <v>1041</v>
      </c>
      <c r="C9" s="15" t="s">
        <v>1035</v>
      </c>
      <c r="D9" s="16">
        <v>300</v>
      </c>
      <c r="E9" s="17">
        <v>2.5</v>
      </c>
      <c r="F9" s="17">
        <f t="shared" ref="F9:F31" si="1">E9*D9</f>
        <v>750</v>
      </c>
      <c r="G9" s="18"/>
    </row>
    <row r="10" ht="15.75" spans="1:7">
      <c r="A10" s="19"/>
      <c r="B10" s="14" t="s">
        <v>1042</v>
      </c>
      <c r="C10" s="11" t="s">
        <v>258</v>
      </c>
      <c r="D10" s="16">
        <v>15</v>
      </c>
      <c r="E10" s="17">
        <v>310</v>
      </c>
      <c r="F10" s="17">
        <f t="shared" si="1"/>
        <v>4650</v>
      </c>
      <c r="G10" s="18"/>
    </row>
    <row r="11" ht="14.25" spans="1:7">
      <c r="A11" s="19"/>
      <c r="B11" s="14" t="s">
        <v>1043</v>
      </c>
      <c r="C11" s="15" t="s">
        <v>1035</v>
      </c>
      <c r="D11" s="16">
        <v>150</v>
      </c>
      <c r="E11" s="17">
        <v>110</v>
      </c>
      <c r="F11" s="17">
        <f t="shared" si="1"/>
        <v>16500</v>
      </c>
      <c r="G11" s="11" t="s">
        <v>1044</v>
      </c>
    </row>
    <row r="12" spans="1:7">
      <c r="A12" s="19"/>
      <c r="B12" s="14" t="s">
        <v>1045</v>
      </c>
      <c r="C12" s="11" t="s">
        <v>1046</v>
      </c>
      <c r="D12" s="16">
        <v>13</v>
      </c>
      <c r="E12" s="17">
        <v>160</v>
      </c>
      <c r="F12" s="17">
        <f t="shared" si="1"/>
        <v>2080</v>
      </c>
      <c r="G12" s="11"/>
    </row>
    <row r="13" spans="1:7">
      <c r="A13" s="19"/>
      <c r="B13" s="14" t="s">
        <v>1047</v>
      </c>
      <c r="C13" s="11" t="s">
        <v>1046</v>
      </c>
      <c r="D13" s="16">
        <v>13</v>
      </c>
      <c r="E13" s="17">
        <v>160</v>
      </c>
      <c r="F13" s="17">
        <f t="shared" si="1"/>
        <v>2080</v>
      </c>
      <c r="G13" s="11"/>
    </row>
    <row r="14" spans="1:7">
      <c r="A14" s="19"/>
      <c r="B14" s="14" t="s">
        <v>1048</v>
      </c>
      <c r="C14" s="11" t="s">
        <v>1046</v>
      </c>
      <c r="D14" s="16">
        <v>15</v>
      </c>
      <c r="E14" s="17">
        <v>160</v>
      </c>
      <c r="F14" s="17">
        <f t="shared" si="1"/>
        <v>2400</v>
      </c>
      <c r="G14" s="11"/>
    </row>
    <row r="15" spans="1:7">
      <c r="A15" s="19"/>
      <c r="B15" s="14" t="s">
        <v>1049</v>
      </c>
      <c r="C15" s="11" t="s">
        <v>225</v>
      </c>
      <c r="D15" s="16">
        <v>10</v>
      </c>
      <c r="E15" s="17">
        <v>120</v>
      </c>
      <c r="F15" s="17">
        <f t="shared" si="1"/>
        <v>1200</v>
      </c>
      <c r="G15" s="11"/>
    </row>
    <row r="16" spans="1:7">
      <c r="A16" s="19"/>
      <c r="B16" s="14" t="s">
        <v>1050</v>
      </c>
      <c r="C16" s="11" t="s">
        <v>1051</v>
      </c>
      <c r="D16" s="16">
        <v>10</v>
      </c>
      <c r="E16" s="17">
        <v>1000</v>
      </c>
      <c r="F16" s="17">
        <f t="shared" si="1"/>
        <v>10000</v>
      </c>
      <c r="G16" s="21"/>
    </row>
    <row r="17" spans="1:7">
      <c r="A17" s="19"/>
      <c r="B17" s="14" t="s">
        <v>1052</v>
      </c>
      <c r="C17" s="11" t="s">
        <v>460</v>
      </c>
      <c r="D17" s="16">
        <v>200</v>
      </c>
      <c r="E17" s="17">
        <v>20</v>
      </c>
      <c r="F17" s="17">
        <f t="shared" si="1"/>
        <v>4000</v>
      </c>
      <c r="G17" s="21"/>
    </row>
    <row r="18" spans="1:7">
      <c r="A18" s="22"/>
      <c r="B18" s="14" t="s">
        <v>1053</v>
      </c>
      <c r="C18" s="11"/>
      <c r="D18" s="16"/>
      <c r="E18" s="17"/>
      <c r="F18" s="17">
        <f t="shared" si="1"/>
        <v>0</v>
      </c>
      <c r="G18" s="21"/>
    </row>
    <row r="19" spans="1:7">
      <c r="A19" s="13" t="s">
        <v>1054</v>
      </c>
      <c r="B19" s="14" t="s">
        <v>1055</v>
      </c>
      <c r="C19" s="11" t="s">
        <v>1056</v>
      </c>
      <c r="D19" s="16">
        <v>20</v>
      </c>
      <c r="E19" s="17">
        <v>70</v>
      </c>
      <c r="F19" s="17">
        <f t="shared" si="1"/>
        <v>1400</v>
      </c>
      <c r="G19" s="21"/>
    </row>
    <row r="20" spans="1:7">
      <c r="A20" s="19"/>
      <c r="B20" s="14" t="s">
        <v>1057</v>
      </c>
      <c r="C20" s="11" t="s">
        <v>1058</v>
      </c>
      <c r="D20" s="16">
        <v>20</v>
      </c>
      <c r="E20" s="17">
        <v>400</v>
      </c>
      <c r="F20" s="17">
        <f t="shared" si="1"/>
        <v>8000</v>
      </c>
      <c r="G20" s="21"/>
    </row>
    <row r="21" spans="1:7">
      <c r="A21" s="19"/>
      <c r="B21" s="14" t="s">
        <v>1059</v>
      </c>
      <c r="C21" s="11" t="s">
        <v>225</v>
      </c>
      <c r="D21" s="16">
        <v>20</v>
      </c>
      <c r="E21" s="17">
        <v>200</v>
      </c>
      <c r="F21" s="17">
        <f t="shared" si="1"/>
        <v>4000</v>
      </c>
      <c r="G21" s="21"/>
    </row>
    <row r="22" spans="1:7">
      <c r="A22" s="22"/>
      <c r="B22" s="14" t="s">
        <v>1053</v>
      </c>
      <c r="C22" s="11"/>
      <c r="D22" s="16"/>
      <c r="E22" s="17"/>
      <c r="F22" s="17">
        <f t="shared" si="1"/>
        <v>0</v>
      </c>
      <c r="G22" s="21"/>
    </row>
    <row r="23" ht="20.45" customHeight="1" spans="1:7">
      <c r="A23" s="14" t="s">
        <v>1060</v>
      </c>
      <c r="B23" s="14" t="s">
        <v>1061</v>
      </c>
      <c r="C23" s="11" t="s">
        <v>1058</v>
      </c>
      <c r="D23" s="16">
        <v>40</v>
      </c>
      <c r="E23" s="17">
        <v>3000</v>
      </c>
      <c r="F23" s="17">
        <f t="shared" si="1"/>
        <v>120000</v>
      </c>
      <c r="G23" s="11"/>
    </row>
    <row r="24" ht="39" customHeight="1" spans="1:7">
      <c r="A24" s="14"/>
      <c r="B24" s="14" t="s">
        <v>1053</v>
      </c>
      <c r="C24" s="21"/>
      <c r="D24" s="16"/>
      <c r="E24" s="17"/>
      <c r="F24" s="17">
        <f t="shared" si="1"/>
        <v>0</v>
      </c>
      <c r="G24" s="21"/>
    </row>
    <row r="25" ht="20.45" customHeight="1" spans="1:7">
      <c r="A25" s="23" t="s">
        <v>1062</v>
      </c>
      <c r="B25" s="14" t="s">
        <v>1063</v>
      </c>
      <c r="C25" s="11" t="s">
        <v>1058</v>
      </c>
      <c r="D25" s="16">
        <v>40</v>
      </c>
      <c r="E25" s="17">
        <v>1000</v>
      </c>
      <c r="F25" s="17">
        <f t="shared" si="1"/>
        <v>40000</v>
      </c>
      <c r="G25" s="11"/>
    </row>
    <row r="26" ht="56.45" customHeight="1" spans="1:7">
      <c r="A26" s="23"/>
      <c r="B26" s="14" t="s">
        <v>1053</v>
      </c>
      <c r="C26" s="21"/>
      <c r="D26" s="16"/>
      <c r="E26" s="17"/>
      <c r="F26" s="17">
        <f t="shared" si="1"/>
        <v>0</v>
      </c>
      <c r="G26" s="21"/>
    </row>
    <row r="27" spans="1:7">
      <c r="A27" s="13" t="s">
        <v>1064</v>
      </c>
      <c r="B27" s="14" t="s">
        <v>1065</v>
      </c>
      <c r="C27" s="11" t="s">
        <v>229</v>
      </c>
      <c r="D27" s="16">
        <v>150</v>
      </c>
      <c r="E27" s="17">
        <f>60+53.548</f>
        <v>113.548</v>
      </c>
      <c r="F27" s="17">
        <f t="shared" si="1"/>
        <v>17032.2</v>
      </c>
      <c r="G27" s="21"/>
    </row>
    <row r="28" spans="1:7">
      <c r="A28" s="19"/>
      <c r="B28" s="14" t="s">
        <v>1066</v>
      </c>
      <c r="C28" s="11" t="s">
        <v>1067</v>
      </c>
      <c r="D28" s="16">
        <v>150</v>
      </c>
      <c r="E28" s="17">
        <v>35</v>
      </c>
      <c r="F28" s="17">
        <f t="shared" si="1"/>
        <v>5250</v>
      </c>
      <c r="G28" s="21"/>
    </row>
    <row r="29" spans="1:7">
      <c r="A29" s="19"/>
      <c r="B29" s="14" t="s">
        <v>1068</v>
      </c>
      <c r="C29" s="11" t="s">
        <v>1069</v>
      </c>
      <c r="D29" s="16">
        <v>150</v>
      </c>
      <c r="E29" s="17">
        <v>35</v>
      </c>
      <c r="F29" s="17">
        <f t="shared" si="1"/>
        <v>5250</v>
      </c>
      <c r="G29" s="21"/>
    </row>
    <row r="30" spans="1:7">
      <c r="A30" s="19"/>
      <c r="B30" s="14" t="s">
        <v>1070</v>
      </c>
      <c r="C30" s="11" t="s">
        <v>1071</v>
      </c>
      <c r="D30" s="16">
        <v>150</v>
      </c>
      <c r="E30" s="17">
        <v>30</v>
      </c>
      <c r="F30" s="17">
        <f t="shared" si="1"/>
        <v>4500</v>
      </c>
      <c r="G30" s="21"/>
    </row>
    <row r="31" spans="1:7">
      <c r="A31" s="19"/>
      <c r="B31" s="14" t="s">
        <v>1072</v>
      </c>
      <c r="C31" s="11" t="s">
        <v>1069</v>
      </c>
      <c r="D31" s="16">
        <v>150</v>
      </c>
      <c r="E31" s="17">
        <v>5</v>
      </c>
      <c r="F31" s="17">
        <f t="shared" si="1"/>
        <v>750</v>
      </c>
      <c r="G31" s="21"/>
    </row>
    <row r="32" spans="1:7">
      <c r="A32" s="19"/>
      <c r="B32" s="14" t="s">
        <v>1073</v>
      </c>
      <c r="C32" s="11" t="s">
        <v>225</v>
      </c>
      <c r="D32" s="16">
        <v>150</v>
      </c>
      <c r="E32" s="17">
        <v>50</v>
      </c>
      <c r="F32" s="17">
        <f t="shared" ref="F32:F38" si="2">E32*D32</f>
        <v>7500</v>
      </c>
      <c r="G32" s="21"/>
    </row>
    <row r="33" spans="1:7">
      <c r="A33" s="19"/>
      <c r="B33" s="14" t="s">
        <v>1074</v>
      </c>
      <c r="C33" s="11" t="s">
        <v>225</v>
      </c>
      <c r="D33" s="16">
        <v>150</v>
      </c>
      <c r="E33" s="17">
        <v>10</v>
      </c>
      <c r="F33" s="17">
        <f t="shared" si="2"/>
        <v>1500</v>
      </c>
      <c r="G33" s="21"/>
    </row>
    <row r="34" spans="1:7">
      <c r="A34" s="19"/>
      <c r="B34" s="14" t="s">
        <v>1075</v>
      </c>
      <c r="C34" s="11" t="s">
        <v>1069</v>
      </c>
      <c r="D34" s="16">
        <v>150</v>
      </c>
      <c r="E34" s="17">
        <v>5</v>
      </c>
      <c r="F34" s="17">
        <f t="shared" si="2"/>
        <v>750</v>
      </c>
      <c r="G34" s="21"/>
    </row>
    <row r="35" spans="1:7">
      <c r="A35" s="19"/>
      <c r="B35" s="14" t="s">
        <v>1076</v>
      </c>
      <c r="C35" s="11" t="s">
        <v>1069</v>
      </c>
      <c r="D35" s="16">
        <v>150</v>
      </c>
      <c r="E35" s="17">
        <v>50</v>
      </c>
      <c r="F35" s="17">
        <f t="shared" si="2"/>
        <v>7500</v>
      </c>
      <c r="G35" s="21"/>
    </row>
    <row r="36" spans="1:7">
      <c r="A36" s="19"/>
      <c r="B36" s="14" t="s">
        <v>1077</v>
      </c>
      <c r="C36" s="11" t="s">
        <v>1069</v>
      </c>
      <c r="D36" s="16">
        <v>150</v>
      </c>
      <c r="E36" s="17">
        <v>3</v>
      </c>
      <c r="F36" s="17">
        <f t="shared" si="2"/>
        <v>450</v>
      </c>
      <c r="G36" s="21"/>
    </row>
    <row r="37" spans="1:7">
      <c r="A37" s="19"/>
      <c r="B37" s="14" t="s">
        <v>1078</v>
      </c>
      <c r="C37" s="11" t="s">
        <v>225</v>
      </c>
      <c r="D37" s="16">
        <v>150</v>
      </c>
      <c r="E37" s="17">
        <v>2</v>
      </c>
      <c r="F37" s="17">
        <f t="shared" si="2"/>
        <v>300</v>
      </c>
      <c r="G37" s="21"/>
    </row>
    <row r="38" spans="1:7">
      <c r="A38" s="19"/>
      <c r="B38" s="14" t="s">
        <v>1079</v>
      </c>
      <c r="C38" s="11" t="s">
        <v>1080</v>
      </c>
      <c r="D38" s="16">
        <v>150</v>
      </c>
      <c r="E38" s="17">
        <v>3</v>
      </c>
      <c r="F38" s="17">
        <f t="shared" si="2"/>
        <v>450</v>
      </c>
      <c r="G38" s="21"/>
    </row>
    <row r="39" spans="1:7">
      <c r="A39" s="22"/>
      <c r="B39" s="14" t="s">
        <v>1053</v>
      </c>
      <c r="C39" s="11"/>
      <c r="D39" s="16"/>
      <c r="E39" s="17"/>
      <c r="F39" s="17">
        <f t="shared" ref="F38:F43" si="3">E39*D39</f>
        <v>0</v>
      </c>
      <c r="G39" s="21"/>
    </row>
    <row r="40" spans="1:7">
      <c r="A40" s="13" t="s">
        <v>1081</v>
      </c>
      <c r="B40" s="14" t="s">
        <v>1082</v>
      </c>
      <c r="C40" s="11" t="s">
        <v>1083</v>
      </c>
      <c r="D40" s="16">
        <v>150</v>
      </c>
      <c r="E40" s="17">
        <v>30</v>
      </c>
      <c r="F40" s="17">
        <f t="shared" si="3"/>
        <v>4500</v>
      </c>
      <c r="G40" s="21"/>
    </row>
    <row r="41" spans="1:7">
      <c r="A41" s="19"/>
      <c r="B41" s="14" t="s">
        <v>1084</v>
      </c>
      <c r="C41" s="11" t="s">
        <v>1083</v>
      </c>
      <c r="D41" s="16">
        <v>150</v>
      </c>
      <c r="E41" s="17">
        <v>30</v>
      </c>
      <c r="F41" s="17">
        <f t="shared" si="3"/>
        <v>4500</v>
      </c>
      <c r="G41" s="21"/>
    </row>
    <row r="42" spans="1:7">
      <c r="A42" s="19"/>
      <c r="B42" s="14" t="s">
        <v>1085</v>
      </c>
      <c r="C42" s="11" t="s">
        <v>460</v>
      </c>
      <c r="D42" s="16">
        <v>30</v>
      </c>
      <c r="E42" s="17">
        <v>10</v>
      </c>
      <c r="F42" s="17">
        <f t="shared" si="3"/>
        <v>300</v>
      </c>
      <c r="G42" s="21"/>
    </row>
    <row r="43" spans="1:7">
      <c r="A43" s="19"/>
      <c r="B43" s="14" t="s">
        <v>1086</v>
      </c>
      <c r="C43" s="11" t="s">
        <v>225</v>
      </c>
      <c r="D43" s="16">
        <v>30</v>
      </c>
      <c r="E43" s="17">
        <v>32</v>
      </c>
      <c r="F43" s="17">
        <f t="shared" si="3"/>
        <v>960</v>
      </c>
      <c r="G43" s="21"/>
    </row>
    <row r="44" spans="1:7">
      <c r="A44" s="22"/>
      <c r="B44" s="14" t="s">
        <v>1053</v>
      </c>
      <c r="C44" s="11"/>
      <c r="D44" s="16"/>
      <c r="E44" s="17"/>
      <c r="F44" s="17">
        <f t="shared" ref="F42:F54" si="4">E44*D44</f>
        <v>0</v>
      </c>
      <c r="G44" s="21"/>
    </row>
    <row r="45" spans="1:7">
      <c r="A45" s="14" t="s">
        <v>1087</v>
      </c>
      <c r="B45" s="24"/>
      <c r="C45" s="21"/>
      <c r="D45" s="16"/>
      <c r="E45" s="17"/>
      <c r="F45" s="17">
        <f t="shared" si="4"/>
        <v>0</v>
      </c>
      <c r="G45" s="21"/>
    </row>
    <row r="46" ht="21.6" customHeight="1" spans="1:7">
      <c r="A46" s="14"/>
      <c r="B46" s="14"/>
      <c r="C46" s="21"/>
      <c r="D46" s="16"/>
      <c r="E46" s="17"/>
      <c r="F46" s="17">
        <f t="shared" si="4"/>
        <v>0</v>
      </c>
      <c r="G46" s="21"/>
    </row>
    <row r="47" spans="1:7">
      <c r="A47" s="13" t="s">
        <v>1088</v>
      </c>
      <c r="B47" s="14" t="s">
        <v>1089</v>
      </c>
      <c r="C47" s="11" t="s">
        <v>258</v>
      </c>
      <c r="D47" s="16">
        <v>10</v>
      </c>
      <c r="E47" s="17">
        <v>260</v>
      </c>
      <c r="F47" s="17">
        <f t="shared" si="4"/>
        <v>2600</v>
      </c>
      <c r="G47" s="21"/>
    </row>
    <row r="48" spans="1:7">
      <c r="A48" s="22"/>
      <c r="B48" s="14" t="s">
        <v>1053</v>
      </c>
      <c r="C48" s="11"/>
      <c r="D48" s="16"/>
      <c r="E48" s="17"/>
      <c r="F48" s="17">
        <f t="shared" si="4"/>
        <v>0</v>
      </c>
      <c r="G48" s="21"/>
    </row>
    <row r="49" spans="1:7">
      <c r="A49" s="13" t="s">
        <v>1090</v>
      </c>
      <c r="B49" s="14" t="s">
        <v>1091</v>
      </c>
      <c r="C49" s="11" t="s">
        <v>1083</v>
      </c>
      <c r="D49" s="16">
        <v>150</v>
      </c>
      <c r="E49" s="17">
        <v>210</v>
      </c>
      <c r="F49" s="17">
        <f t="shared" si="4"/>
        <v>31500</v>
      </c>
      <c r="G49" s="21"/>
    </row>
    <row r="50" spans="1:7">
      <c r="A50" s="22"/>
      <c r="B50" s="14" t="s">
        <v>1053</v>
      </c>
      <c r="C50" s="11"/>
      <c r="D50" s="16"/>
      <c r="E50" s="17"/>
      <c r="F50" s="17">
        <f t="shared" si="4"/>
        <v>0</v>
      </c>
      <c r="G50" s="21"/>
    </row>
    <row r="51" spans="1:7">
      <c r="A51" s="14" t="s">
        <v>1092</v>
      </c>
      <c r="B51" s="14" t="s">
        <v>1093</v>
      </c>
      <c r="C51" s="11" t="s">
        <v>1094</v>
      </c>
      <c r="D51" s="16">
        <v>150</v>
      </c>
      <c r="E51" s="17">
        <v>16</v>
      </c>
      <c r="F51" s="17">
        <f t="shared" si="4"/>
        <v>2400</v>
      </c>
      <c r="G51" s="21"/>
    </row>
    <row r="52" spans="1:7">
      <c r="A52" s="14"/>
      <c r="B52" s="14" t="s">
        <v>1095</v>
      </c>
      <c r="C52" s="11" t="s">
        <v>225</v>
      </c>
      <c r="D52" s="16">
        <v>150</v>
      </c>
      <c r="E52" s="25">
        <v>2</v>
      </c>
      <c r="F52" s="17">
        <f t="shared" si="4"/>
        <v>300</v>
      </c>
      <c r="G52" s="21"/>
    </row>
    <row r="53" spans="1:7">
      <c r="A53" s="14"/>
      <c r="B53" s="14" t="s">
        <v>1096</v>
      </c>
      <c r="C53" s="21" t="s">
        <v>1097</v>
      </c>
      <c r="D53" s="26">
        <v>30</v>
      </c>
      <c r="E53" s="17">
        <v>9</v>
      </c>
      <c r="F53" s="17">
        <f t="shared" si="4"/>
        <v>270</v>
      </c>
      <c r="G53" s="21"/>
    </row>
    <row r="54" ht="33" customHeight="1" spans="1:7">
      <c r="A54" s="14"/>
      <c r="B54" s="14" t="s">
        <v>1053</v>
      </c>
      <c r="C54" s="27"/>
      <c r="D54" s="28"/>
      <c r="E54" s="17"/>
      <c r="F54" s="17">
        <f t="shared" si="4"/>
        <v>0</v>
      </c>
      <c r="G54" s="21"/>
    </row>
    <row r="55" s="1" customFormat="1" spans="1:7">
      <c r="A55" s="29"/>
      <c r="B55" s="29"/>
      <c r="C55" s="30"/>
      <c r="D55" s="31"/>
      <c r="E55" s="32"/>
      <c r="F55" s="32">
        <f>ROUND(SUM(F4:F54),0)</f>
        <v>373977</v>
      </c>
      <c r="G55" s="33"/>
    </row>
    <row r="56" spans="1:7">
      <c r="A56" s="34" t="s">
        <v>49</v>
      </c>
      <c r="B56" s="35"/>
      <c r="C56" s="36"/>
      <c r="D56" s="36"/>
      <c r="E56" s="36"/>
      <c r="F56" s="36"/>
      <c r="G56" s="36"/>
    </row>
    <row r="57" spans="1:7">
      <c r="A57" s="37" t="s">
        <v>1098</v>
      </c>
      <c r="B57" s="37"/>
      <c r="C57" s="38"/>
      <c r="D57" s="39"/>
      <c r="E57" s="39"/>
      <c r="F57" s="39"/>
      <c r="G57" s="38"/>
    </row>
    <row r="62" spans="1:7">
      <c r="G62" s="40"/>
    </row>
  </sheetData>
  <autoFilter xmlns:etc="http://www.wps.cn/officeDocument/2017/etCustomData" ref="A1:G59" etc:filterBottomFollowUsedRange="0">
    <extLst/>
  </autoFilter>
  <mergeCells count="16">
    <mergeCell ref="A1:G1"/>
    <mergeCell ref="A2:G2"/>
    <mergeCell ref="B56:G56"/>
    <mergeCell ref="A57:G57"/>
    <mergeCell ref="A4:A18"/>
    <mergeCell ref="A19:A22"/>
    <mergeCell ref="A23:A24"/>
    <mergeCell ref="A25:A26"/>
    <mergeCell ref="A27:A39"/>
    <mergeCell ref="A40:A44"/>
    <mergeCell ref="A45:A46"/>
    <mergeCell ref="A47:A48"/>
    <mergeCell ref="A49:A50"/>
    <mergeCell ref="A51:A54"/>
    <mergeCell ref="G11:G15"/>
    <mergeCell ref="G19:G20"/>
  </mergeCells>
  <pageMargins left="0.7" right="0.7" top="0.75" bottom="0.75" header="0.3" footer="0.3"/>
  <pageSetup paperSize="9" scale="69" orientation="portrait"/>
  <headerFooter>
    <oddFooter>&amp;C第 &amp;P 页，共28 页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13" master="" otherUserPermission="visible">
    <arrUserId title="区域1_7_3_2" rangeCreator="" othersAccessPermission="edit"/>
    <arrUserId title="区域1_2_2_1_1_5_1_1_1" rangeCreator="" othersAccessPermission="edit"/>
    <arrUserId title="区域1_7_3_2_1_1" rangeCreator="" othersAccessPermission="edit"/>
    <arrUserId title="区域1_1_1" rangeCreator="" othersAccessPermission="edit"/>
    <arrUserId title="区域1_15_1_1_1" rangeCreator="" othersAccessPermission="edit"/>
    <arrUserId title="区域1_15_1_1_1_1" rangeCreator="" othersAccessPermission="edit"/>
    <arrUserId title="区域1_15_1_1_1_3" rangeCreator="" othersAccessPermission="edit"/>
    <arrUserId title="区域1_16_1_2" rangeCreator="" othersAccessPermission="edit"/>
    <arrUserId title="区域1_1_1_1" rangeCreator="" othersAccessPermission="edit"/>
    <arrUserId title="区域1_15_1_1_1_2" rangeCreator="" othersAccessPermission="edit"/>
    <arrUserId title="区域1_15_1_1_1_1_2" rangeCreator="" othersAccessPermission="edit"/>
    <arrUserId title="区域1_15_1_1_1_3_1" rangeCreator="" othersAccessPermission="edit"/>
    <arrUserId title="区域1_7_3_1" rangeCreator="" othersAccessPermission="edit"/>
    <arrUserId title="区域1_7_3_1_1" rangeCreator="" othersAccessPermission="edit"/>
    <arrUserId title="区域1_7_3_2_1" rangeCreator="" othersAccessPermission="edit"/>
    <arrUserId title="区域1_7_3_1_1_1" rangeCreator="" othersAccessPermission="edit"/>
    <arrUserId title="区域1_8_2_1_2_1" rangeCreator="" othersAccessPermission="edit"/>
    <arrUserId title="区域1_1_2_5_1" rangeCreator="" othersAccessPermission="edit"/>
    <arrUserId title="区域1_2_2_1_1_5_1_1_1_1" rangeCreator="" othersAccessPermission="edit"/>
    <arrUserId title="区域1_7_3_2_1_1_1" rangeCreator="" othersAccessPermission="edit"/>
    <arrUserId title="区域1_16_1_2_1" rangeCreator="" othersAccessPermission="edit"/>
    <arrUserId title="区域1_2_3_1_1" rangeCreator="" othersAccessPermission="edit"/>
    <arrUserId title="区域1_2_4_1_1" rangeCreator="" othersAccessPermission="edit"/>
    <arrUserId title="区域1_1_2_1_1" rangeCreator="" othersAccessPermission="edit"/>
  </rangeList>
  <rangeList sheetStid="12" master="" otherUserPermission="visible"/>
  <rangeList sheetStid="11" master="" otherUserPermission="visible"/>
  <rangeList sheetStid="10" master="" otherUserPermission="visible"/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表1汇总表</vt:lpstr>
      <vt:lpstr>表2清单</vt:lpstr>
      <vt:lpstr>表3</vt:lpstr>
      <vt:lpstr>表4</vt:lpstr>
      <vt:lpstr>表5</vt:lpstr>
      <vt:lpstr>表6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张泉</dc:creator>
  <cp:lastModifiedBy> 苳枣儿</cp:lastModifiedBy>
  <dcterms:created xsi:type="dcterms:W3CDTF">2019-12-28T12:31:00Z</dcterms:created>
  <dcterms:modified xsi:type="dcterms:W3CDTF">2026-01-07T03:11:33Z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0BDE135BE106431EBC91068390A82074_13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
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 tabRatio="798" firstSheet="4" activeTab="1"/>
  </bookViews>
  <sheets>
    <sheet name="表1汇总表" sheetId="1" r:id="rId1"/>
    <sheet name="表2清单" sheetId="13" r:id="rId2"/>
    <sheet name="表3" sheetId="12" r:id="rId3"/>
    <sheet name="表4" sheetId="11" r:id="rId4"/>
    <sheet name="表5" sheetId="10" r:id="rId5"/>
    <sheet name="表6" sheetId="9" r:id="rId6"/>
    <sheet name="Sheet1" sheetId="14" r:id="rId7"/>
    <sheet name="Sheet2" sheetId="15" r:id="rId8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_xlnm._FilterDatabase" localSheetId="1" hidden="1">表2清单!$A$1:$P$448</definedName>
    <definedName name="_xlnm._FilterDatabase" localSheetId="5" hidden="1">表6!$A$1:$G$59</definedName>
    <definedName name="_2a11_" hidden="1">{#N/A,#N/A,FALSE,"App14-F-A";#N/A,#N/A,FALSE,"App14-F-C";#N/A,#N/A,FALSE,"App14-F-D";#N/A,#N/A,FALSE,"App14-F-E"}</definedName>
    <definedName name="bbv" hidden="1">{#N/A,#N/A,FALSE,"App14-F-A";#N/A,#N/A,FALSE,"App14-F-C";#N/A,#N/A,FALSE,"App14-F-D";#N/A,#N/A,FALSE,"App14-F-E"}</definedName>
    <definedName name="Database" hidden="1">#REF!</definedName>
    <definedName name="ggf" hidden="1">{#N/A,#N/A,FALSE,"App14-F-A";#N/A,#N/A,FALSE,"App14-F-C";#N/A,#N/A,FALSE,"App14-F-D";#N/A,#N/A,FALSE,"App14-F-E"}</definedName>
    <definedName name="HTML_CodePage" hidden="1">936</definedName>
    <definedName name="HTML_Control" hidden="1">{"'报表'!$F$15"}</definedName>
    <definedName name="HTML_Description" hidden="1">""</definedName>
    <definedName name="HTML_Email" hidden="1">""</definedName>
    <definedName name="HTML_Header" hidden="1">"报表"</definedName>
    <definedName name="HTML_LastUpdate" hidden="1">"03-2-13"</definedName>
    <definedName name="HTML_LineAfter" hidden="1">FALSE</definedName>
    <definedName name="HTML_LineBefore" hidden="1">FALSE</definedName>
    <definedName name="HTML_Name" hidden="1">"tjd"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"1月"</definedName>
    <definedName name="LF" hidden="1">{#N/A,#N/A,FALSE,"App14-F-A";#N/A,#N/A,FALSE,"App14-F-C";#N/A,#N/A,FALSE,"App14-F-D";#N/A,#N/A,FALSE,"App14-F-E"}</definedName>
    <definedName name="_xlnm.Print_Area" hidden="1">#REF!</definedName>
    <definedName name="wrn.App14_F." hidden="1">{#N/A,#N/A,FALSE,"App14-F-A";#N/A,#N/A,FALSE,"APP14-T-A";#N/A,#N/A,FALSE,"App14-F-C";#N/A,#N/A,FALSE,"App14-F-D";#N/A,#N/A,FALSE,"APP14-T-D";#N/A,#N/A,FALSE,"App14-F-E";#N/A,#N/A,FALSE,"APP14-T (2)"}</definedName>
    <definedName name="甲供材料计算" hidden="1">{"'报表'!$F$15"}</definedName>
    <definedName name="__xlfn.AVERAGEIFS" hidden="1">#NAME?</definedName>
    <definedName name="__xlfn.SUMIFS" hidden="1">#NAME?</definedName>
    <definedName name="_Order1" hidden="1">255</definedName>
    <definedName name="_Order2" hidden="1">255</definedName>
    <definedName name="bb" hidden="1">{#N/A,#N/A,FALSE,"App14-F-A";#N/A,#N/A,FALSE,"App14-F-C";#N/A,#N/A,FALSE,"App14-F-D";#N/A,#N/A,FALSE,"App14-F-E"}</definedName>
    <definedName name="BTL_COM_CLBHA4_CCTEC201">[2]水系统CCS31a90.1!$A$2</definedName>
    <definedName name="dianji">[3]泵站各参数表!$H$3:$H$17</definedName>
    <definedName name="Elec_TMEIC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hidden="1">{#N/A,#N/A,FALSE,"App14-F-A";#N/A,#N/A,FALSE,"APP14-T-A";#N/A,#N/A,FALSE,"App14-F-C";#N/A,#N/A,FALSE,"App14-F-D";#N/A,#N/A,FALSE,"APP14-T-D";#N/A,#N/A,FALSE,"App14-F-E";#N/A,#N/A,FALSE,"APP14-T (2)"}</definedName>
    <definedName name="gaoyaguolvqi">[3]泵站各参数表!$U$3:$U$9</definedName>
    <definedName name="huiludaima">'[3]阀组分档-基本数据源'!$I$23:$I$30</definedName>
    <definedName name="huiyouguolvqi">[3]泵站各参数表!$Z$3:$Z$9</definedName>
    <definedName name="llf" hidden="1">{#N/A,#N/A,FALSE,"App14-F-A";#N/A,#N/A,FALSE,"App14-F-C";#N/A,#N/A,FALSE,"App14-F-D";#N/A,#N/A,FALSE,"App14-F-E"}</definedName>
    <definedName name="REV_MATERIAL">[2]水系统CCS31a90.1!$D$4</definedName>
    <definedName name="REV_MATERIALNAME">[2]水系统CCS31a90.1!$B$4</definedName>
    <definedName name="REV_NUMBER">[2]水系统CCS31a90.1!$A$4</definedName>
    <definedName name="REV_QTY">[2]水系统CCS31a90.1!$F$4</definedName>
    <definedName name="REV_REMARK">[2]水系统CCS31a90.1!$L$4</definedName>
    <definedName name="REV_STANDARDNO">[2]水系统CCS31a90.1!$C$4</definedName>
    <definedName name="REV_TOTALWEIGHT">[2]水系统CCS31a90.1!$H$4</definedName>
    <definedName name="REV_UNIT">[2]水系统CCS31a90.1!$E$4</definedName>
    <definedName name="REV_UNITWEIGHT">[2]水系统CCS31a90.1!$G$4</definedName>
    <definedName name="wrn.COSTING.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xunengqi">[3]泵站各参数表!$AJ$3:$AJ$10</definedName>
    <definedName name="xunhuaguolvqi">[3]泵站各参数表!$AE$3:$AE$11</definedName>
    <definedName name="xunhuanbeng">[3]泵站各参数表!$M$3:$M$23</definedName>
    <definedName name="xunhuanbengdianji">[3]泵站各参数表!$H$3:$H$12</definedName>
    <definedName name="youxiang">[3]泵站各参数表!$R$3:$R$15</definedName>
    <definedName name="zhubengfuzhudaima">[3]泵站各参数表!$A$3:$A$12</definedName>
    <definedName name="报价汇总表1" hidden="1">{#N/A,#N/A,FALSE,"App14-F-A";#N/A,#N/A,FALSE,"App14-F-C";#N/A,#N/A,FALSE,"App14-F-D";#N/A,#N/A,FALSE,"App14-F-E"}</definedName>
    <definedName name="汇总表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___CFJ1">#REF!</definedName>
    <definedName name="__CFJ1">#REF!</definedName>
    <definedName name="__F6">#REF!</definedName>
    <definedName name="_1F6_">#REF!</definedName>
    <definedName name="_CFJ1">#REF!</definedName>
    <definedName name="_F6">#REF!</definedName>
    <definedName name="_Fill" hidden="1">[1]eqpmad2!#REF!</definedName>
    <definedName name="_xlnm._FilterDatabase" hidden="1">#REF!</definedName>
    <definedName name="¿°Ä”ÍˆÍ">#REF!</definedName>
    <definedName name="A">#REF!</definedName>
    <definedName name="aaaa">#REF!</definedName>
    <definedName name="Database" localSheetId="5" hidden="1">#REF!</definedName>
    <definedName name="dss" hidden="1">#REF!</definedName>
    <definedName name="FCV_FB">[7]Configuration!$B$19</definedName>
    <definedName name="FENG10">#REF!</definedName>
    <definedName name="GLB_TT">[7]Configuration!$D$2</definedName>
    <definedName name="ltmc">#REF!</definedName>
    <definedName name="ltmc2">#REF!</definedName>
    <definedName name="ltmc3">#REF!</definedName>
    <definedName name="ltmcc">#REF!</definedName>
    <definedName name="MatSel">#REF!</definedName>
    <definedName name="MatSel_Table">#REF!</definedName>
    <definedName name="one">#REF!</definedName>
    <definedName name="_xlnm.Print_Area" localSheetId="5" hidden="1">#REF!</definedName>
    <definedName name="_xlnm.Print_Titles" hidden="1">#REF!</definedName>
    <definedName name="RH">#REF!</definedName>
    <definedName name="Roll_Type_1_dia">#REF!</definedName>
    <definedName name="Roll_Type_2_dia">#REF!</definedName>
    <definedName name="Roll_Type_3_dia">#REF!</definedName>
    <definedName name="Sep_Hide_Column">#REF!</definedName>
    <definedName name="Sep_Hide_Marker_Column">#REF!</definedName>
    <definedName name="SP_GA_Heater">#REF!</definedName>
    <definedName name="SP_HOSE">#REF!</definedName>
    <definedName name="SP_Idx_Coating">#REF!</definedName>
    <definedName name="SP_Idx_Cooling">#REF!</definedName>
    <definedName name="SP_Idx_Furnace">#REF!</definedName>
    <definedName name="SP_Idx_Galvanneal">#REF!</definedName>
    <definedName name="SP_p_Manometer">#REF!</definedName>
    <definedName name="SP_p_Reg">#REF!</definedName>
    <definedName name="SP_Steering">#REF!</definedName>
    <definedName name="SP_Tensiometer">#REF!</definedName>
    <definedName name="SP_Zinc_Pot">#REF!</definedName>
    <definedName name="SP_Zinc_Pot_El">#REF!</definedName>
    <definedName name="ｘｃ">#REF!</definedName>
    <definedName name="xg">#REF!</definedName>
    <definedName name="ｿｰﾄ範囲">#REF!</definedName>
    <definedName name="安钢">#REF!</definedName>
    <definedName name="鞍钢">#REF!</definedName>
    <definedName name="包钢">#REF!</definedName>
    <definedName name="北部湾钢铁厂">#REF!</definedName>
    <definedName name="北满特钢">#REF!</definedName>
    <definedName name="备件报价">#REF!</definedName>
    <definedName name="本钢">#REF!</definedName>
    <definedName name="比">#REF!</definedName>
    <definedName name="编号">#REF!</definedName>
    <definedName name="编号终点">#REF!</definedName>
    <definedName name="承德钢厂">#REF!</definedName>
    <definedName name="崇利制钢有限公司">#REF!</definedName>
    <definedName name="大冶钢厂">#REF!</definedName>
    <definedName name="大冶县钢厂">#REF!</definedName>
    <definedName name="电缆">#REF!</definedName>
    <definedName name="电力复制02">#REF!</definedName>
    <definedName name="电气">#REF!</definedName>
    <definedName name="吊车">#REF!</definedName>
    <definedName name="吊车1">#REF!</definedName>
    <definedName name="鄂城钢铁厂">#REF!</definedName>
    <definedName name="鄂西钢厂">#REF!</definedName>
    <definedName name="鄂西高磷矿">#REF!</definedName>
    <definedName name="鄂州工程">#REF!</definedName>
    <definedName name="非封">#REF!</definedName>
    <definedName name="风6">#REF!</definedName>
    <definedName name="风7">#REF!</definedName>
    <definedName name="封">#REF!</definedName>
    <definedName name="个">#REF!</definedName>
    <definedName name="更1002">#REF!</definedName>
    <definedName name="工艺设备总量">#REF!</definedName>
    <definedName name="广东地区电厂">#REF!</definedName>
    <definedName name="广钢">#REF!</definedName>
    <definedName name="规格">#REF!</definedName>
    <definedName name="国外工程">#REF!</definedName>
    <definedName name="海南钢厂">#REF!</definedName>
    <definedName name="海南冷轧薄板厂">#REF!</definedName>
    <definedName name="海鑫钢铁有限公司">#REF!</definedName>
    <definedName name="邯钢">#REF!</definedName>
    <definedName name="杭钢">#REF!</definedName>
    <definedName name="衡阳钢厂">#REF!</definedName>
    <definedName name="黄石、安陆工程">#REF!</definedName>
    <definedName name="机修">#REF!</definedName>
    <definedName name="基础1">#REF!</definedName>
    <definedName name="技术储备资料">#REF!</definedName>
    <definedName name="济钢">#REF!</definedName>
    <definedName name="建龙">#REF!</definedName>
    <definedName name="江苏地区电厂">#REF!</definedName>
    <definedName name="江西省工程">#REF!</definedName>
    <definedName name="焦作钢厂">#REF!</definedName>
    <definedName name="津西钢厂">#REF!</definedName>
    <definedName name="酒钢">#REF!</definedName>
    <definedName name="莱钢">#REF!</definedName>
    <definedName name="力333333333333">#REF!</definedName>
    <definedName name="涟源钢厂">#REF!</definedName>
    <definedName name="临钢">#REF!</definedName>
    <definedName name="柳钢">#REF!</definedName>
    <definedName name="美元汇率">[8]参数表!$C$4</definedName>
    <definedName name="名称">#REF!</definedName>
    <definedName name="名称123">#REF!</definedName>
    <definedName name="耐550℃高温">#REF!</definedName>
    <definedName name="南京钢铁厂">#REF!</definedName>
    <definedName name="盘柜号">#REF!</definedName>
    <definedName name="鹏达钢板有限公司">#REF!</definedName>
    <definedName name="齐钢">#REF!</definedName>
    <definedName name="其">#REF!</definedName>
    <definedName name="燃气复制">#REF!</definedName>
    <definedName name="热1">#REF!</definedName>
    <definedName name="热力">#REF!</definedName>
    <definedName name="热力复制">#REF!</definedName>
    <definedName name="热力复制02">#REF!</definedName>
    <definedName name="沙市工程">#REF!</definedName>
    <definedName name="上钢">#REF!</definedName>
    <definedName name="上海自行车厂">#REF!</definedName>
    <definedName name="韶钢">#REF!</definedName>
    <definedName name="设计">#REF!</definedName>
    <definedName name="设计收费">#REF!</definedName>
    <definedName name="十堰工程">#REF!</definedName>
    <definedName name="首钢">#REF!</definedName>
    <definedName name="水钢">#REF!</definedName>
    <definedName name="松江工业开发区">#REF!</definedName>
    <definedName name="宋体">#REF!</definedName>
    <definedName name="酸再生站工艺">#REF!</definedName>
    <definedName name="太钢">#REF!</definedName>
    <definedName name="唐钢">#REF!</definedName>
    <definedName name="桃浦工业区">#REF!</definedName>
    <definedName name="通风2">#REF!</definedName>
    <definedName name="通钢汇总">#REF!</definedName>
    <definedName name="外汇">#REF!</definedName>
    <definedName name="外汇计算表">#REF!</definedName>
    <definedName name="位置代号">#REF!</definedName>
    <definedName name="武汉市工程">#REF!</definedName>
    <definedName name="武汉院工程">#REF!</definedName>
    <definedName name="下陆钢厂">#REF!</definedName>
    <definedName name="湘钢">#REF!</definedName>
    <definedName name="襄凡钢厂">#REF!</definedName>
    <definedName name="孝感、横店、潜江、汉川、钟祥、鄂州">#REF!</definedName>
    <definedName name="新1">#REF!</definedName>
    <definedName name="新2">#REF!</definedName>
    <definedName name="新3">#REF!</definedName>
    <definedName name="新4">#REF!</definedName>
    <definedName name="新5">#REF!</definedName>
    <definedName name="新6">#REF!</definedName>
    <definedName name="新疆八一钢厂">#REF!</definedName>
    <definedName name="新名称">#REF!</definedName>
    <definedName name="新名称2">#REF!</definedName>
    <definedName name="信阳钢厂">#REF!</definedName>
    <definedName name="型号">#REF!</definedName>
    <definedName name="兴澄钢铁有限公司">#REF!</definedName>
    <definedName name="宣钢">#REF!</definedName>
    <definedName name="液压">#REF!</definedName>
    <definedName name="一电力电力电力">#REF!</definedName>
    <definedName name="宜昌八一钢厂">#REF!</definedName>
    <definedName name="宜昌地区工程">#REF!</definedName>
    <definedName name="引进用汇">#REF!</definedName>
    <definedName name="云南省工程">#REF!</definedName>
    <definedName name="张店钢厂">#REF!</definedName>
    <definedName name="长钢">#REF!</definedName>
    <definedName name="指标">#REF!</definedName>
    <definedName name="中钢制品公司">#REF!</definedName>
    <definedName name="终点">#REF!</definedName>
    <definedName name="重钢">#REF!</definedName>
    <definedName name="珠钢">#REF!</definedName>
    <definedName name="转炉">#REF!</definedName>
    <definedName name="转运战分析">#REF!</definedName>
    <definedName name="庄">#REF!</definedName>
    <definedName name="装">#REF!</definedName>
    <definedName name="状">#REF!</definedName>
    <definedName name="资产评估">#REF!</definedName>
    <definedName name="资金成本">#REF!</definedName>
    <definedName name="总包价不">#REF!</definedName>
    <definedName name="总表二">#REF!</definedName>
    <definedName name="总谷">#REF!</definedName>
    <definedName name="总图">#REF!</definedName>
    <definedName name="BTL_COM_SBBHA4_CCTEC201">#REF!</definedName>
    <definedName name="BTL_COM_CLBHA4_CCTEC241">#REF!</definedName>
    <definedName name="___CFJ1" localSheetId="5">#REF!</definedName>
    <definedName name="__CFJ1" localSheetId="5">#REF!</definedName>
    <definedName name="__F6" localSheetId="5">#REF!</definedName>
    <definedName name="_1F6_" localSheetId="5">#REF!</definedName>
    <definedName name="_CFJ1" localSheetId="5">#REF!</definedName>
    <definedName name="_F6" localSheetId="5">#REF!</definedName>
    <definedName name="¿°Ä”ÍˆÍ" localSheetId="5">#REF!</definedName>
    <definedName name="A" localSheetId="5">#REF!</definedName>
    <definedName name="aaaa" localSheetId="5">#REF!</definedName>
    <definedName name="dianji" localSheetId="5">[4]泵站各参数表!$H$3:$H$17</definedName>
    <definedName name="dss" localSheetId="5" hidden="1">#REF!</definedName>
    <definedName name="FCV_FB" localSheetId="5">[5]Configuration!$B$19</definedName>
    <definedName name="FENG10" localSheetId="5">#REF!</definedName>
    <definedName name="gaoyaguolvqi" localSheetId="5">[4]泵站各参数表!$U$3:$U$9</definedName>
    <definedName name="GLB_TT" localSheetId="5">[5]Configuration!$D$2</definedName>
    <definedName name="huiludaima" localSheetId="5">'[4]阀组分档-基本数据源'!$I$23:$I$30</definedName>
    <definedName name="huiyouguolvqi" localSheetId="5">[4]泵站各参数表!$Z$3:$Z$9</definedName>
    <definedName name="ltmc" localSheetId="5">#REF!</definedName>
    <definedName name="ltmc2" localSheetId="5">#REF!</definedName>
    <definedName name="ltmc3" localSheetId="5">#REF!</definedName>
    <definedName name="ltmcc" localSheetId="5">#REF!</definedName>
    <definedName name="MatSel" localSheetId="5">#REF!</definedName>
    <definedName name="MatSel_Table" localSheetId="5">#REF!</definedName>
    <definedName name="one" localSheetId="5">#REF!</definedName>
    <definedName name="RH" localSheetId="5">#REF!</definedName>
    <definedName name="Roll_Type_1_dia" localSheetId="5">#REF!</definedName>
    <definedName name="Roll_Type_2_dia" localSheetId="5">#REF!</definedName>
    <definedName name="Roll_Type_3_dia" localSheetId="5">#REF!</definedName>
    <definedName name="Sep_Hide_Column" localSheetId="5">#REF!</definedName>
    <definedName name="Sep_Hide_Marker_Column" localSheetId="5">#REF!</definedName>
    <definedName name="SP_GA_Heater" localSheetId="5">#REF!</definedName>
    <definedName name="SP_HOSE" localSheetId="5">#REF!</definedName>
    <definedName name="SP_Idx_Coating" localSheetId="5">#REF!</definedName>
    <definedName name="SP_Idx_Cooling" localSheetId="5">#REF!</definedName>
    <definedName name="SP_Idx_Furnace" localSheetId="5">#REF!</definedName>
    <definedName name="SP_Idx_Galvanneal" localSheetId="5">#REF!</definedName>
    <definedName name="SP_p_Manometer" localSheetId="5">#REF!</definedName>
    <definedName name="SP_p_Reg" localSheetId="5">#REF!</definedName>
    <definedName name="SP_Steering" localSheetId="5">#REF!</definedName>
    <definedName name="SP_Tensiometer" localSheetId="5">#REF!</definedName>
    <definedName name="SP_Zinc_Pot" localSheetId="5">#REF!</definedName>
    <definedName name="SP_Zinc_Pot_El" localSheetId="5">#REF!</definedName>
    <definedName name="ｘｃ" localSheetId="5">#REF!</definedName>
    <definedName name="xg" localSheetId="5">#REF!</definedName>
    <definedName name="xunengqi" localSheetId="5">[4]泵站各参数表!$AJ$3:$AJ$10</definedName>
    <definedName name="xunhuaguolvqi" localSheetId="5">[4]泵站各参数表!$AE$3:$AE$11</definedName>
    <definedName name="xunhuanbeng" localSheetId="5">[4]泵站各参数表!$M$3:$M$23</definedName>
    <definedName name="xunhuanbengdianji" localSheetId="5">[4]泵站各参数表!$H$3:$H$12</definedName>
    <definedName name="youxiang" localSheetId="5">[4]泵站各参数表!$R$3:$R$15</definedName>
    <definedName name="zhubengfuzhudaima" localSheetId="5">[4]泵站各参数表!$A$3:$A$12</definedName>
    <definedName name="ｿｰﾄ範囲" localSheetId="5">#REF!</definedName>
    <definedName name="安钢" localSheetId="5">#REF!</definedName>
    <definedName name="鞍钢" localSheetId="5">#REF!</definedName>
    <definedName name="包钢" localSheetId="5">#REF!</definedName>
    <definedName name="北部湾钢铁厂" localSheetId="5">#REF!</definedName>
    <definedName name="北满特钢" localSheetId="5">#REF!</definedName>
    <definedName name="备件报价" localSheetId="5">#REF!</definedName>
    <definedName name="本钢" localSheetId="5">#REF!</definedName>
    <definedName name="比" localSheetId="5">#REF!</definedName>
    <definedName name="编号" localSheetId="5">#REF!</definedName>
    <definedName name="编号终点" localSheetId="5">#REF!</definedName>
    <definedName name="承德钢厂" localSheetId="5">#REF!</definedName>
    <definedName name="崇利制钢有限公司" localSheetId="5">#REF!</definedName>
    <definedName name="大冶钢厂" localSheetId="5">#REF!</definedName>
    <definedName name="大冶县钢厂" localSheetId="5">#REF!</definedName>
    <definedName name="电缆" localSheetId="5">#REF!</definedName>
    <definedName name="电力复制02" localSheetId="5">#REF!</definedName>
    <definedName name="电气" localSheetId="5">#REF!</definedName>
    <definedName name="吊车" localSheetId="5">#REF!</definedName>
    <definedName name="吊车1" localSheetId="5">#REF!</definedName>
    <definedName name="鄂城钢铁厂" localSheetId="5">#REF!</definedName>
    <definedName name="鄂西钢厂" localSheetId="5">#REF!</definedName>
    <definedName name="鄂西高磷矿" localSheetId="5">#REF!</definedName>
    <definedName name="鄂州工程" localSheetId="5">#REF!</definedName>
    <definedName name="非封" localSheetId="5">#REF!</definedName>
    <definedName name="风6" localSheetId="5">#REF!</definedName>
    <definedName name="风7" localSheetId="5">#REF!</definedName>
    <definedName name="封" localSheetId="5">#REF!</definedName>
    <definedName name="个" localSheetId="5">#REF!</definedName>
    <definedName name="更1002" localSheetId="5">#REF!</definedName>
    <definedName name="工艺设备总量" localSheetId="5">#REF!</definedName>
    <definedName name="广东地区电厂" localSheetId="5">#REF!</definedName>
    <definedName name="广钢" localSheetId="5">#REF!</definedName>
    <definedName name="规格" localSheetId="5">#REF!</definedName>
    <definedName name="国外工程" localSheetId="5">#REF!</definedName>
    <definedName name="海南钢厂" localSheetId="5">#REF!</definedName>
    <definedName name="海南冷轧薄板厂" localSheetId="5">#REF!</definedName>
    <definedName name="海鑫钢铁有限公司" localSheetId="5">#REF!</definedName>
    <definedName name="邯钢" localSheetId="5">#REF!</definedName>
    <definedName name="杭钢" localSheetId="5">#REF!</definedName>
    <definedName name="衡阳钢厂" localSheetId="5">#REF!</definedName>
    <definedName name="黄石、安陆工程" localSheetId="5">#REF!</definedName>
    <definedName name="机修" localSheetId="5">#REF!</definedName>
    <definedName name="基础1" localSheetId="5">#REF!</definedName>
    <definedName name="技术储备资料" localSheetId="5">#REF!</definedName>
    <definedName name="济钢" localSheetId="5">#REF!</definedName>
    <definedName name="建龙" localSheetId="5">#REF!</definedName>
    <definedName name="江苏地区电厂" localSheetId="5">#REF!</definedName>
    <definedName name="江西省工程" localSheetId="5">#REF!</definedName>
    <definedName name="焦作钢厂" localSheetId="5">#REF!</definedName>
    <definedName name="津西钢厂" localSheetId="5">#REF!</definedName>
    <definedName name="酒钢" localSheetId="5">#REF!</definedName>
    <definedName name="莱钢" localSheetId="5">#REF!</definedName>
    <definedName name="力333333333333" localSheetId="5">#REF!</definedName>
    <definedName name="涟源钢厂" localSheetId="5">#REF!</definedName>
    <definedName name="临钢" localSheetId="5">#REF!</definedName>
    <definedName name="柳钢" localSheetId="5">#REF!</definedName>
    <definedName name="美元汇率" localSheetId="5">[6]参数表!$C$4</definedName>
    <definedName name="名称" localSheetId="5">#REF!</definedName>
    <definedName name="名称123" localSheetId="5">#REF!</definedName>
    <definedName name="耐550℃高温" localSheetId="5">#REF!</definedName>
    <definedName name="南京钢铁厂" localSheetId="5">#REF!</definedName>
    <definedName name="盘柜号" localSheetId="5">#REF!</definedName>
    <definedName name="鹏达钢板有限公司" localSheetId="5">#REF!</definedName>
    <definedName name="齐钢" localSheetId="5">#REF!</definedName>
    <definedName name="其" localSheetId="5">#REF!</definedName>
    <definedName name="燃气复制" localSheetId="5">#REF!</definedName>
    <definedName name="热1" localSheetId="5">#REF!</definedName>
    <definedName name="热力" localSheetId="5">#REF!</definedName>
    <definedName name="热力复制" localSheetId="5">#REF!</definedName>
    <definedName name="热力复制02" localSheetId="5">#REF!</definedName>
    <definedName name="沙市工程" localSheetId="5">#REF!</definedName>
    <definedName name="上钢" localSheetId="5">#REF!</definedName>
    <definedName name="上海自行车厂" localSheetId="5">#REF!</definedName>
    <definedName name="韶钢" localSheetId="5">#REF!</definedName>
    <definedName name="设计" localSheetId="5">#REF!</definedName>
    <definedName name="设计收费" localSheetId="5">#REF!</definedName>
    <definedName name="十堰工程" localSheetId="5">#REF!</definedName>
    <definedName name="首钢" localSheetId="5">#REF!</definedName>
    <definedName name="水钢" localSheetId="5">#REF!</definedName>
    <definedName name="松江工业开发区" localSheetId="5">#REF!</definedName>
    <definedName name="宋体" localSheetId="5">#REF!</definedName>
    <definedName name="酸再生站工艺" localSheetId="5">#REF!</definedName>
    <definedName name="太钢" localSheetId="5">#REF!</definedName>
    <definedName name="唐钢" localSheetId="5">#REF!</definedName>
    <definedName name="桃浦工业区" localSheetId="5">#REF!</definedName>
    <definedName name="通风2" localSheetId="5">#REF!</definedName>
    <definedName name="通钢汇总" localSheetId="5">#REF!</definedName>
    <definedName name="外汇" localSheetId="5">#REF!</definedName>
    <definedName name="外汇计算表" localSheetId="5">#REF!</definedName>
    <definedName name="位置代号" localSheetId="5">#REF!</definedName>
    <definedName name="武汉市工程" localSheetId="5">#REF!</definedName>
    <definedName name="武汉院工程" localSheetId="5">#REF!</definedName>
    <definedName name="下陆钢厂" localSheetId="5">#REF!</definedName>
    <definedName name="湘钢" localSheetId="5">#REF!</definedName>
    <definedName name="襄凡钢厂" localSheetId="5">#REF!</definedName>
    <definedName name="孝感、横店、潜江、汉川、钟祥、鄂州" localSheetId="5">#REF!</definedName>
    <definedName name="新1" localSheetId="5">#REF!</definedName>
    <definedName name="新2" localSheetId="5">#REF!</definedName>
    <definedName name="新3" localSheetId="5">#REF!</definedName>
    <definedName name="新4" localSheetId="5">#REF!</definedName>
    <definedName name="新5" localSheetId="5">#REF!</definedName>
    <definedName name="新6" localSheetId="5">#REF!</definedName>
    <definedName name="新疆八一钢厂" localSheetId="5">#REF!</definedName>
    <definedName name="新名称" localSheetId="5">#REF!</definedName>
    <definedName name="新名称2" localSheetId="5">#REF!</definedName>
    <definedName name="信阳钢厂" localSheetId="5">#REF!</definedName>
    <definedName name="型号" localSheetId="5">#REF!</definedName>
    <definedName name="兴澄钢铁有限公司" localSheetId="5">#REF!</definedName>
    <definedName name="宣钢" localSheetId="5">#REF!</definedName>
    <definedName name="液压" localSheetId="5">#REF!</definedName>
    <definedName name="一电力电力电力" localSheetId="5">#REF!</definedName>
    <definedName name="宜昌八一钢厂" localSheetId="5">#REF!</definedName>
    <definedName name="宜昌地区工程" localSheetId="5">#REF!</definedName>
    <definedName name="引进用汇" localSheetId="5">#REF!</definedName>
    <definedName name="云南省工程" localSheetId="5">#REF!</definedName>
    <definedName name="张店钢厂" localSheetId="5">#REF!</definedName>
    <definedName name="长钢" localSheetId="5">#REF!</definedName>
    <definedName name="指标" localSheetId="5">#REF!</definedName>
    <definedName name="中钢制品公司" localSheetId="5">#REF!</definedName>
    <definedName name="终点" localSheetId="5">#REF!</definedName>
    <definedName name="重钢" localSheetId="5">#REF!</definedName>
    <definedName name="珠钢" localSheetId="5">#REF!</definedName>
    <definedName name="转炉" localSheetId="5">#REF!</definedName>
    <definedName name="转运战分析" localSheetId="5">#REF!</definedName>
    <definedName name="庄" localSheetId="5">#REF!</definedName>
    <definedName name="装" localSheetId="5">#REF!</definedName>
    <definedName name="状" localSheetId="5">#REF!</definedName>
    <definedName name="资产评估" localSheetId="5">#REF!</definedName>
    <definedName name="资金成本" localSheetId="5">#REF!</definedName>
    <definedName name="总包价不" localSheetId="5">#REF!</definedName>
    <definedName name="总表二" localSheetId="5">#REF!</definedName>
    <definedName name="总谷" localSheetId="5">#REF!</definedName>
    <definedName name="总图" localSheetId="5">#REF!</definedName>
    <definedName name="Database" localSheetId="4" hidden="1">#REF!</definedName>
    <definedName name="_xlnm.Print_Area" localSheetId="4" hidden="1">#REF!</definedName>
    <definedName name="_2a11_" localSheetId="4" hidden="1">{#N/A,#N/A,FALSE,"App14-F-A";#N/A,#N/A,FALSE,"App14-F-C";#N/A,#N/A,FALSE,"App14-F-D";#N/A,#N/A,FALSE,"App14-F-E"}</definedName>
    <definedName name="bb" localSheetId="4" hidden="1">{#N/A,#N/A,FALSE,"App14-F-A";#N/A,#N/A,FALSE,"App14-F-C";#N/A,#N/A,FALSE,"App14-F-D";#N/A,#N/A,FALSE,"App14-F-E"}</definedName>
    <definedName name="bbv" localSheetId="4" hidden="1">{#N/A,#N/A,FALSE,"App14-F-A";#N/A,#N/A,FALSE,"App14-F-C";#N/A,#N/A,FALSE,"App14-F-D";#N/A,#N/A,FALSE,"App14-F-E"}</definedName>
    <definedName name="Elec_TMEIC" localSheetId="4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4" hidden="1">{#N/A,#N/A,FALSE,"App14-F-A";#N/A,#N/A,FALSE,"APP14-T-A";#N/A,#N/A,FALSE,"App14-F-C";#N/A,#N/A,FALSE,"App14-F-D";#N/A,#N/A,FALSE,"APP14-T-D";#N/A,#N/A,FALSE,"App14-F-E";#N/A,#N/A,FALSE,"APP14-T (2)"}</definedName>
    <definedName name="ggf" localSheetId="4" hidden="1">{#N/A,#N/A,FALSE,"App14-F-A";#N/A,#N/A,FALSE,"App14-F-C";#N/A,#N/A,FALSE,"App14-F-D";#N/A,#N/A,FALSE,"App14-F-E"}</definedName>
    <definedName name="HTML_Control" localSheetId="4" hidden="1">{"'报表'!$F$15"}</definedName>
    <definedName name="LF" localSheetId="4" hidden="1">{#N/A,#N/A,FALSE,"App14-F-A";#N/A,#N/A,FALSE,"App14-F-C";#N/A,#N/A,FALSE,"App14-F-D";#N/A,#N/A,FALSE,"App14-F-E"}</definedName>
    <definedName name="wrn.App14_F." localSheetId="4" hidden="1">{#N/A,#N/A,FALSE,"App14-F-A";#N/A,#N/A,FALSE,"APP14-T-A";#N/A,#N/A,FALSE,"App14-F-C";#N/A,#N/A,FALSE,"App14-F-D";#N/A,#N/A,FALSE,"APP14-T-D";#N/A,#N/A,FALSE,"App14-F-E";#N/A,#N/A,FALSE,"APP14-T (2)"}</definedName>
    <definedName name="wrn.COSTING." localSheetId="4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4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4" hidden="1">{"'报表'!$F$15"}</definedName>
    <definedName name="Database" localSheetId="3" hidden="1">#REF!</definedName>
    <definedName name="_xlnm.Print_Area" localSheetId="3" hidden="1">#REF!</definedName>
    <definedName name="_2a11_" localSheetId="3" hidden="1">{#N/A,#N/A,FALSE,"App14-F-A";#N/A,#N/A,FALSE,"App14-F-C";#N/A,#N/A,FALSE,"App14-F-D";#N/A,#N/A,FALSE,"App14-F-E"}</definedName>
    <definedName name="bb" localSheetId="3" hidden="1">{#N/A,#N/A,FALSE,"App14-F-A";#N/A,#N/A,FALSE,"App14-F-C";#N/A,#N/A,FALSE,"App14-F-D";#N/A,#N/A,FALSE,"App14-F-E"}</definedName>
    <definedName name="bbv" localSheetId="3" hidden="1">{#N/A,#N/A,FALSE,"App14-F-A";#N/A,#N/A,FALSE,"App14-F-C";#N/A,#N/A,FALSE,"App14-F-D";#N/A,#N/A,FALSE,"App14-F-E"}</definedName>
    <definedName name="Elec_TMEIC" localSheetId="3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3" hidden="1">{#N/A,#N/A,FALSE,"App14-F-A";#N/A,#N/A,FALSE,"APP14-T-A";#N/A,#N/A,FALSE,"App14-F-C";#N/A,#N/A,FALSE,"App14-F-D";#N/A,#N/A,FALSE,"APP14-T-D";#N/A,#N/A,FALSE,"App14-F-E";#N/A,#N/A,FALSE,"APP14-T (2)"}</definedName>
    <definedName name="ggf" localSheetId="3" hidden="1">{#N/A,#N/A,FALSE,"App14-F-A";#N/A,#N/A,FALSE,"App14-F-C";#N/A,#N/A,FALSE,"App14-F-D";#N/A,#N/A,FALSE,"App14-F-E"}</definedName>
    <definedName name="HTML_Control" localSheetId="3" hidden="1">{"'报表'!$F$15"}</definedName>
    <definedName name="LF" localSheetId="3" hidden="1">{#N/A,#N/A,FALSE,"App14-F-A";#N/A,#N/A,FALSE,"App14-F-C";#N/A,#N/A,FALSE,"App14-F-D";#N/A,#N/A,FALSE,"App14-F-E"}</definedName>
    <definedName name="wrn.App14_F." localSheetId="3" hidden="1">{#N/A,#N/A,FALSE,"App14-F-A";#N/A,#N/A,FALSE,"APP14-T-A";#N/A,#N/A,FALSE,"App14-F-C";#N/A,#N/A,FALSE,"App14-F-D";#N/A,#N/A,FALSE,"APP14-T-D";#N/A,#N/A,FALSE,"App14-F-E";#N/A,#N/A,FALSE,"APP14-T (2)"}</definedName>
    <definedName name="wrn.COSTING." localSheetId="3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3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3" hidden="1">{"'报表'!$F$15"}</definedName>
    <definedName name="Database" localSheetId="2" hidden="1">#REF!</definedName>
    <definedName name="_xlnm.Print_Area" localSheetId="2" hidden="1">#REF!</definedName>
    <definedName name="_2a11_" localSheetId="2" hidden="1">{#N/A,#N/A,FALSE,"App14-F-A";#N/A,#N/A,FALSE,"App14-F-C";#N/A,#N/A,FALSE,"App14-F-D";#N/A,#N/A,FALSE,"App14-F-E"}</definedName>
    <definedName name="bb" localSheetId="2" hidden="1">{#N/A,#N/A,FALSE,"App14-F-A";#N/A,#N/A,FALSE,"App14-F-C";#N/A,#N/A,FALSE,"App14-F-D";#N/A,#N/A,FALSE,"App14-F-E"}</definedName>
    <definedName name="bbv" localSheetId="2" hidden="1">{#N/A,#N/A,FALSE,"App14-F-A";#N/A,#N/A,FALSE,"App14-F-C";#N/A,#N/A,FALSE,"App14-F-D";#N/A,#N/A,FALSE,"App14-F-E"}</definedName>
    <definedName name="Elec_TMEIC" localSheetId="2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ff" localSheetId="2" hidden="1">{#N/A,#N/A,FALSE,"App14-F-A";#N/A,#N/A,FALSE,"APP14-T-A";#N/A,#N/A,FALSE,"App14-F-C";#N/A,#N/A,FALSE,"App14-F-D";#N/A,#N/A,FALSE,"APP14-T-D";#N/A,#N/A,FALSE,"App14-F-E";#N/A,#N/A,FALSE,"APP14-T (2)"}</definedName>
    <definedName name="ggf" localSheetId="2" hidden="1">{#N/A,#N/A,FALSE,"App14-F-A";#N/A,#N/A,FALSE,"App14-F-C";#N/A,#N/A,FALSE,"App14-F-D";#N/A,#N/A,FALSE,"App14-F-E"}</definedName>
    <definedName name="HTML_Control" localSheetId="2" hidden="1">{"'报表'!$F$15"}</definedName>
    <definedName name="LF" localSheetId="2" hidden="1">{#N/A,#N/A,FALSE,"App14-F-A";#N/A,#N/A,FALSE,"App14-F-C";#N/A,#N/A,FALSE,"App14-F-D";#N/A,#N/A,FALSE,"App14-F-E"}</definedName>
    <definedName name="wrn.App14_F." localSheetId="2" hidden="1">{#N/A,#N/A,FALSE,"App14-F-A";#N/A,#N/A,FALSE,"APP14-T-A";#N/A,#N/A,FALSE,"App14-F-C";#N/A,#N/A,FALSE,"App14-F-D";#N/A,#N/A,FALSE,"APP14-T-D";#N/A,#N/A,FALSE,"App14-F-E";#N/A,#N/A,FALSE,"APP14-T (2)"}</definedName>
    <definedName name="wrn.COSTING." localSheetId="2" hidden="1">{#N/A,#N/A,FALSE,"SUM";#N/A,#N/A,FALSE,"CTLS";#N/A,#N/A,FALSE,"AUTO";#N/A,#N/A,FALSE,"OPER";#N/A,#N/A,FALSE,"RESALE";#N/A,#N/A,FALSE,"MCC";#N/A,#N/A,FALSE,"ACMTR";#N/A,#N/A,FALSE,"VSMTR";#N/A,#N/A,FALSE,"GEAR";#N/A,#N/A,FALSE,"SERVICE";#N/A,#N/A,FALSE,"ENG";#N/A,#N/A,FALSE,"SPARE";#N/A,#N/A,FALSE,"QB FRONT PAGE";#N/A,#N/A,FALSE,"QB BACK PAGE"}</definedName>
    <definedName name="wrn.Price." localSheetId="2" hidden="1">{#N/A,#N/A,TRUE,"SUM";#N/A,#N/A,TRUE,"CTLS";#N/A,#N/A,TRUE,"AUTO";#N/A,#N/A,TRUE,"OPER";#N/A,#N/A,TRUE,"RESALE";#N/A,#N/A,TRUE,"MCC";#N/A,#N/A,TRUE,"ACMTR";#N/A,#N/A,TRUE,"VSMTR";#N/A,#N/A,TRUE,"GEAR";#N/A,#N/A,TRUE,"SERVICE";#N/A,#N/A,TRUE,"SPARE"}</definedName>
    <definedName name="甲供材料计算" localSheetId="2" hidden="1">{"'报表'!$F$15"}</definedName>
    <definedName name="Database" localSheetId="1" hidden="1">#REF!</definedName>
    <definedName name="_xlnm.Print_Titles" localSheetId="1">表2清单!$1:$3</definedName>
    <definedName name="仪表">[9]钢筋!$A$6:$T$12</definedName>
  </definedName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<sst xmlns="http://schemas.openxmlformats.org/spreadsheetml/2006/main" count="4322" uniqueCount="1337">
  <si>
    <r>
      <rPr>
        <sz val="12"/>
        <rFont val="宋体"/>
        <charset val="134"/>
      </rPr>
      <t>表</t>
    </r>
    <r>
      <rPr>
        <sz val="12"/>
        <rFont val="Times New Roman"/>
        <charset val="134"/>
      </rPr>
      <t xml:space="preserve">1   </t>
    </r>
    <r>
      <rPr>
        <sz val="12"/>
        <rFont val="宋体"/>
        <charset val="134"/>
      </rPr>
      <t>报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价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汇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总</t>
    </r>
    <r>
      <rPr>
        <sz val="12"/>
        <rFont val="Times New Roman"/>
        <charset val="134"/>
      </rPr>
      <t xml:space="preserve">  </t>
    </r>
    <r>
      <rPr>
        <sz val="12"/>
        <rFont val="宋体"/>
        <charset val="134"/>
      </rPr>
      <t>表</t>
    </r>
  </si>
  <si>
    <r>
      <rPr>
        <sz val="9"/>
        <rFont val="宋体"/>
        <charset val="134"/>
      </rPr>
      <t>序号</t>
    </r>
  </si>
  <si>
    <r>
      <rPr>
        <sz val="9"/>
        <rFont val="宋体"/>
        <charset val="134"/>
      </rPr>
      <t>标段</t>
    </r>
  </si>
  <si>
    <t>工程项目及费用名称</t>
  </si>
  <si>
    <r>
      <rPr>
        <sz val="9"/>
        <rFont val="宋体"/>
        <charset val="134"/>
      </rPr>
      <t>报价（元）</t>
    </r>
  </si>
  <si>
    <r>
      <rPr>
        <sz val="9"/>
        <rFont val="宋体"/>
        <charset val="134"/>
      </rPr>
      <t>其中：主材费</t>
    </r>
  </si>
  <si>
    <r>
      <rPr>
        <sz val="9"/>
        <rFont val="宋体"/>
        <charset val="134"/>
      </rPr>
      <t>其中：人工费</t>
    </r>
  </si>
  <si>
    <r>
      <rPr>
        <sz val="9"/>
        <rFont val="宋体"/>
        <charset val="134"/>
      </rPr>
      <t>备注</t>
    </r>
  </si>
  <si>
    <r>
      <rPr>
        <sz val="9"/>
        <rFont val="宋体"/>
        <charset val="134"/>
      </rPr>
      <t>一、工程费</t>
    </r>
  </si>
  <si>
    <r>
      <rPr>
        <sz val="9"/>
        <rFont val="宋体"/>
        <charset val="134"/>
      </rPr>
      <t>柳钢股份转炉厂二区一罐制及脱硫站升级改造工程</t>
    </r>
    <r>
      <rPr>
        <sz val="9"/>
        <rFont val="Times New Roman"/>
        <charset val="134"/>
      </rPr>
      <t>(LZG0225J1)</t>
    </r>
  </si>
  <si>
    <t>1：土建工程</t>
  </si>
  <si>
    <t>2：工艺设施</t>
  </si>
  <si>
    <t>3：燃气设施</t>
  </si>
  <si>
    <t>4：热力设施</t>
  </si>
  <si>
    <t>5：给排水设施</t>
  </si>
  <si>
    <t>6：通风设施</t>
  </si>
  <si>
    <t>7：电气设施</t>
  </si>
  <si>
    <t>8：电力设施</t>
  </si>
  <si>
    <t>9：仪表设施</t>
  </si>
  <si>
    <t>10：计算机</t>
  </si>
  <si>
    <t>11：自动扒渣系统</t>
  </si>
  <si>
    <t>12：罐架识别系统</t>
  </si>
  <si>
    <t>13：电讯设施</t>
  </si>
  <si>
    <t>14：总图设施</t>
  </si>
  <si>
    <t>15：拆除</t>
  </si>
  <si>
    <r>
      <rPr>
        <sz val="9"/>
        <rFont val="Times New Roman"/>
        <charset val="134"/>
      </rPr>
      <t>16</t>
    </r>
    <r>
      <rPr>
        <sz val="9"/>
        <rFont val="宋体"/>
        <charset val="134"/>
      </rPr>
      <t>：测量</t>
    </r>
  </si>
  <si>
    <t>工程费用小计</t>
  </si>
  <si>
    <r>
      <rPr>
        <sz val="9"/>
        <rFont val="宋体"/>
        <charset val="134"/>
      </rPr>
      <t>其中：安全文明施工费</t>
    </r>
  </si>
  <si>
    <r>
      <rPr>
        <sz val="9"/>
        <rFont val="宋体"/>
        <charset val="134"/>
      </rPr>
      <t>二、其他费</t>
    </r>
  </si>
  <si>
    <r>
      <rPr>
        <b/>
        <sz val="9"/>
        <rFont val="宋体"/>
        <charset val="134"/>
      </rPr>
      <t>合计</t>
    </r>
  </si>
  <si>
    <r>
      <rPr>
        <sz val="11"/>
        <color indexed="8"/>
        <rFont val="宋体"/>
        <charset val="134"/>
      </rPr>
      <t>投标总报价（大写）：</t>
    </r>
  </si>
  <si>
    <r>
      <rPr>
        <sz val="11"/>
        <color indexed="8"/>
        <rFont val="宋体"/>
        <charset val="134"/>
      </rPr>
      <t>投标单位</t>
    </r>
    <r>
      <rPr>
        <sz val="11"/>
        <color indexed="8"/>
        <rFont val="Times New Roman"/>
        <charset val="134"/>
      </rPr>
      <t>:(</t>
    </r>
    <r>
      <rPr>
        <sz val="11"/>
        <color indexed="8"/>
        <rFont val="宋体"/>
        <charset val="134"/>
      </rPr>
      <t>盖章</t>
    </r>
    <r>
      <rPr>
        <sz val="11"/>
        <color indexed="8"/>
        <rFont val="Times New Roman"/>
        <charset val="134"/>
      </rPr>
      <t>)</t>
    </r>
  </si>
  <si>
    <r>
      <rPr>
        <sz val="11"/>
        <color indexed="8"/>
        <rFont val="宋体"/>
        <charset val="134"/>
      </rPr>
      <t>法定代表人</t>
    </r>
    <r>
      <rPr>
        <sz val="11"/>
        <color indexed="8"/>
        <rFont val="Times New Roman"/>
        <charset val="134"/>
      </rPr>
      <t>:(</t>
    </r>
    <r>
      <rPr>
        <sz val="11"/>
        <color indexed="8"/>
        <rFont val="宋体"/>
        <charset val="134"/>
      </rPr>
      <t>签字、盖章</t>
    </r>
    <r>
      <rPr>
        <sz val="11"/>
        <color indexed="8"/>
        <rFont val="Times New Roman"/>
        <charset val="134"/>
      </rPr>
      <t>)</t>
    </r>
  </si>
  <si>
    <r>
      <rPr>
        <sz val="11"/>
        <color indexed="8"/>
        <rFont val="宋体"/>
        <charset val="134"/>
      </rPr>
      <t>日期</t>
    </r>
    <r>
      <rPr>
        <sz val="11"/>
        <color indexed="8"/>
        <rFont val="Times New Roman"/>
        <charset val="134"/>
      </rPr>
      <t xml:space="preserve"> 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年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月</t>
    </r>
    <r>
      <rPr>
        <sz val="11"/>
        <color indexed="8"/>
        <rFont val="Times New Roman"/>
        <charset val="134"/>
      </rPr>
      <t xml:space="preserve">   </t>
    </r>
    <r>
      <rPr>
        <sz val="11"/>
        <color indexed="8"/>
        <rFont val="宋体"/>
        <charset val="134"/>
      </rPr>
      <t>日</t>
    </r>
  </si>
  <si>
    <r>
      <rPr>
        <sz val="10"/>
        <rFont val="宋体"/>
        <charset val="134"/>
      </rPr>
      <t>流水号</t>
    </r>
  </si>
  <si>
    <r>
      <rPr>
        <sz val="10"/>
        <rFont val="宋体"/>
        <charset val="134"/>
      </rPr>
      <t>序号</t>
    </r>
  </si>
  <si>
    <r>
      <rPr>
        <sz val="10"/>
        <rFont val="宋体"/>
        <charset val="134"/>
      </rPr>
      <t>工程或费用名称</t>
    </r>
  </si>
  <si>
    <r>
      <rPr>
        <sz val="10"/>
        <rFont val="宋体"/>
        <charset val="134"/>
      </rPr>
      <t>规格型号</t>
    </r>
  </si>
  <si>
    <r>
      <rPr>
        <sz val="10"/>
        <rFont val="宋体"/>
        <charset val="134"/>
      </rPr>
      <t>单位</t>
    </r>
  </si>
  <si>
    <r>
      <rPr>
        <sz val="10"/>
        <rFont val="宋体"/>
        <charset val="134"/>
      </rPr>
      <t>数</t>
    </r>
    <r>
      <rPr>
        <sz val="10"/>
        <rFont val="Times New Roman"/>
        <charset val="134"/>
      </rPr>
      <t xml:space="preserve"> </t>
    </r>
    <r>
      <rPr>
        <sz val="10"/>
        <rFont val="宋体"/>
        <charset val="134"/>
      </rPr>
      <t>量</t>
    </r>
  </si>
  <si>
    <r>
      <rPr>
        <sz val="10"/>
        <rFont val="宋体"/>
        <charset val="134"/>
      </rPr>
      <t>重量</t>
    </r>
    <r>
      <rPr>
        <sz val="10"/>
        <rFont val="Times New Roman"/>
        <charset val="134"/>
      </rPr>
      <t>(</t>
    </r>
    <r>
      <rPr>
        <sz val="10"/>
        <rFont val="宋体"/>
        <charset val="134"/>
      </rPr>
      <t>吨</t>
    </r>
    <r>
      <rPr>
        <sz val="10"/>
        <rFont val="Times New Roman"/>
        <charset val="134"/>
      </rPr>
      <t>)</t>
    </r>
  </si>
  <si>
    <t>单价（元）</t>
  </si>
  <si>
    <t>总价（元）</t>
  </si>
  <si>
    <t>主材损耗率%</t>
  </si>
  <si>
    <t>工作内容</t>
  </si>
  <si>
    <r>
      <rPr>
        <sz val="10"/>
        <rFont val="宋体"/>
        <charset val="134"/>
      </rPr>
      <t>单重</t>
    </r>
  </si>
  <si>
    <r>
      <rPr>
        <sz val="10"/>
        <rFont val="宋体"/>
        <charset val="134"/>
      </rPr>
      <t>总重</t>
    </r>
  </si>
  <si>
    <t>综合单价</t>
  </si>
  <si>
    <t>其中：</t>
  </si>
  <si>
    <t>总计</t>
  </si>
  <si>
    <t>主材单价</t>
  </si>
  <si>
    <t>人工费</t>
  </si>
  <si>
    <t>主材总价</t>
  </si>
  <si>
    <t>人工费总价</t>
  </si>
  <si>
    <r>
      <rPr>
        <sz val="10"/>
        <rFont val="宋体"/>
        <charset val="134"/>
      </rPr>
      <t>土建设施</t>
    </r>
  </si>
  <si>
    <r>
      <rPr>
        <sz val="10"/>
        <rFont val="宋体"/>
        <charset val="134"/>
      </rPr>
      <t>新建脱硫主厂房</t>
    </r>
  </si>
  <si>
    <t>1.1.1</t>
  </si>
  <si>
    <t>脱硫厂房基础</t>
  </si>
  <si>
    <r>
      <t>C30(</t>
    </r>
    <r>
      <rPr>
        <sz val="10"/>
        <rFont val="宋体"/>
        <charset val="134"/>
      </rPr>
      <t>钢筋单列</t>
    </r>
    <r>
      <rPr>
        <sz val="10"/>
        <rFont val="Times New Roman"/>
        <charset val="134"/>
      </rPr>
      <t>)</t>
    </r>
  </si>
  <si>
    <t>立方米</t>
  </si>
  <si>
    <t>降水、排水、挖填运土石方(含特殊爆破)、基础垫层、模板安拆堆放、截（接）桩头、填桩芯、预埋铁件（含钢管、套筒、防雷接地极、地脚螺栓等）制安、砼浇捣养护、脚手架搭拆、铁件刷油、浇灌（灌浆）、固定架制安等全部工作内容</t>
  </si>
  <si>
    <t>1.1.2</t>
  </si>
  <si>
    <t>脱硫厂房基础钢筋</t>
  </si>
  <si>
    <t>各种规格、各种型号、各种材质</t>
  </si>
  <si>
    <t>吨</t>
  </si>
  <si>
    <t>钢筋采购、制作、运输、绑扎安装等全部工作内容</t>
  </si>
  <si>
    <t>主材贵300 施工贵100</t>
  </si>
  <si>
    <t>1.1.3</t>
  </si>
  <si>
    <t>脱硫主厂房钢结构</t>
  </si>
  <si>
    <t>钢结构设计详图设计、材料供货、除锈防腐、制作、探伤、运输、卸车、拼装、吊装、安装、涂漆、接地等全部工作内容</t>
  </si>
  <si>
    <t>主材贵 3-4点损耗</t>
  </si>
  <si>
    <t>1.1.4</t>
  </si>
  <si>
    <t>屋面彩板</t>
  </si>
  <si>
    <t>屋面采用0.8mm厚单层YX130-333-666（角驰III）型彩色压型钢板</t>
  </si>
  <si>
    <t>平方米</t>
  </si>
  <si>
    <t>墙屋面板(含异型板、零配件)排版、制作、运输、安装等施工图、施工规范要求的全部工作内容</t>
  </si>
  <si>
    <t>1.1.5</t>
  </si>
  <si>
    <t>雨棚彩板</t>
  </si>
  <si>
    <t>0.8厚V125彩钢板</t>
  </si>
  <si>
    <t>同上</t>
  </si>
  <si>
    <t>1.1.6</t>
  </si>
  <si>
    <t>外墙彩板</t>
  </si>
  <si>
    <t>0.6厚V125彩钢板</t>
  </si>
  <si>
    <t>1.1.7</t>
  </si>
  <si>
    <t>外墙采光板</t>
  </si>
  <si>
    <t>1.5mm厚FRP一级阻燃型增强玻璃钢釆光板，板型同墙面</t>
  </si>
  <si>
    <t>1.1.8</t>
  </si>
  <si>
    <t>TPO防水卷材</t>
  </si>
  <si>
    <t>1.5厚，燃烧性能等级不低于B2，卷材随波形铺设。</t>
  </si>
  <si>
    <t>基层处理、涂刷基层处理剂、卷材铺设、收口密封、成品保护等全部工作内容</t>
  </si>
  <si>
    <t>主材填报</t>
  </si>
  <si>
    <t>1.1.9</t>
  </si>
  <si>
    <t>砖墙</t>
  </si>
  <si>
    <t>烧结普通砖</t>
  </si>
  <si>
    <t>调运砂浆、运砌砖、砌窗台虎头砖、腰线、门窗套、安放木砖、铁件、粉刷、涂料、脚手架等满足施工图、施工规范要求的全部工作内容</t>
  </si>
  <si>
    <t>1.1.10</t>
  </si>
  <si>
    <t>电动钢卷帘门</t>
  </si>
  <si>
    <t>高5m，宽4m，钢制卷帘门</t>
  </si>
  <si>
    <t>材料供货及敷设安装等满足施工图纸及规范要求的全部工作内容</t>
  </si>
  <si>
    <t>1.1.11</t>
  </si>
  <si>
    <t>钢制防盗门</t>
  </si>
  <si>
    <t>50mm厚</t>
  </si>
  <si>
    <t>1.1.12</t>
  </si>
  <si>
    <t>铝合金推拉窗</t>
  </si>
  <si>
    <t>1.1.13</t>
  </si>
  <si>
    <t>散水</t>
  </si>
  <si>
    <r>
      <rPr>
        <sz val="10"/>
        <rFont val="Times New Roman"/>
        <charset val="134"/>
      </rPr>
      <t>1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80</t>
    </r>
    <r>
      <rPr>
        <sz val="10"/>
        <rFont val="宋体"/>
        <charset val="134"/>
      </rPr>
      <t>厚</t>
    </r>
    <r>
      <rPr>
        <sz val="10"/>
        <rFont val="Times New Roman"/>
        <charset val="134"/>
      </rPr>
      <t>C20</t>
    </r>
    <r>
      <rPr>
        <sz val="10"/>
        <rFont val="宋体"/>
        <charset val="134"/>
      </rPr>
      <t>混凝土面层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撤</t>
    </r>
    <r>
      <rPr>
        <sz val="10"/>
        <rFont val="Times New Roman"/>
        <charset val="134"/>
      </rPr>
      <t>1:1</t>
    </r>
    <r>
      <rPr>
        <sz val="10"/>
        <rFont val="宋体"/>
        <charset val="134"/>
      </rPr>
      <t>水泥砂子压实赶光；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150</t>
    </r>
    <r>
      <rPr>
        <sz val="10"/>
        <rFont val="宋体"/>
        <charset val="134"/>
      </rPr>
      <t>厚粒径</t>
    </r>
    <r>
      <rPr>
        <sz val="10"/>
        <rFont val="Times New Roman"/>
        <charset val="134"/>
      </rPr>
      <t>10~40</t>
    </r>
    <r>
      <rPr>
        <sz val="10"/>
        <rFont val="宋体"/>
        <charset val="134"/>
      </rPr>
      <t>砾石灌</t>
    </r>
    <r>
      <rPr>
        <sz val="10"/>
        <rFont val="Times New Roman"/>
        <charset val="134"/>
      </rPr>
      <t>M2.5</t>
    </r>
    <r>
      <rPr>
        <sz val="10"/>
        <rFont val="宋体"/>
        <charset val="134"/>
      </rPr>
      <t>混合砂浆或</t>
    </r>
    <r>
      <rPr>
        <sz val="10"/>
        <rFont val="Times New Roman"/>
        <charset val="134"/>
      </rPr>
      <t>150</t>
    </r>
    <r>
      <rPr>
        <sz val="10"/>
        <rFont val="宋体"/>
        <charset val="134"/>
      </rPr>
      <t>厚</t>
    </r>
    <r>
      <rPr>
        <sz val="10"/>
        <rFont val="Times New Roman"/>
        <charset val="134"/>
      </rPr>
      <t>3:7</t>
    </r>
    <r>
      <rPr>
        <sz val="10"/>
        <rFont val="宋体"/>
        <charset val="134"/>
      </rPr>
      <t>灰土</t>
    </r>
    <r>
      <rPr>
        <sz val="10"/>
        <rFont val="Times New Roman"/>
        <charset val="134"/>
      </rPr>
      <t xml:space="preserve">
</t>
    </r>
    <r>
      <rPr>
        <sz val="10"/>
        <rFont val="宋体"/>
        <charset val="134"/>
      </rPr>
      <t>夯实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宽出面层</t>
    </r>
    <r>
      <rPr>
        <sz val="10"/>
        <rFont val="Times New Roman"/>
        <charset val="134"/>
      </rPr>
      <t>100</t>
    </r>
    <r>
      <rPr>
        <sz val="10"/>
        <rFont val="宋体"/>
        <charset val="134"/>
      </rPr>
      <t>；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、压实填土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压实系数</t>
    </r>
    <r>
      <rPr>
        <sz val="10"/>
        <rFont val="Times New Roman"/>
        <charset val="134"/>
      </rPr>
      <t>&gt;93%,</t>
    </r>
    <r>
      <rPr>
        <sz val="10"/>
        <rFont val="宋体"/>
        <charset val="134"/>
      </rPr>
      <t>向外坡</t>
    </r>
    <r>
      <rPr>
        <sz val="10"/>
        <rFont val="Times New Roman"/>
        <charset val="134"/>
      </rPr>
      <t>3%~5%</t>
    </r>
  </si>
  <si>
    <t>降水、排水、挖运填土石方、铺设垫层、夯实、模板安拆、浇筑混凝土面层抹灰压实、养护等全部工作内容</t>
  </si>
  <si>
    <t>1.1.14</t>
  </si>
  <si>
    <t>建筑地坪</t>
  </si>
  <si>
    <t>150厚C20素混凝土，垫层300厚碎石</t>
  </si>
  <si>
    <t>降水、排水、挖填运土石方(含特殊爆破)、基础垫层、造型砼、模板安拆堆放、截（接）桩头、填桩芯、预埋铁件（含钢管、套筒、防雷接地极、地脚螺栓等）制安、砼浇捣养护、脚手架搭拆、铁件刷油、浇灌（灌浆）、固定架制安等全部工作内容</t>
  </si>
  <si>
    <t>脱硫站平台</t>
  </si>
  <si>
    <t>1.2.1</t>
  </si>
  <si>
    <t>脱硫平台柱基础</t>
  </si>
  <si>
    <t>C30(钢筋单列)</t>
  </si>
  <si>
    <t>1.2.2</t>
  </si>
  <si>
    <t>脱硫站平台钢筋混凝土框架</t>
  </si>
  <si>
    <t>C30耐热钢筋混凝土，耐热温度250度(钢筋单列)</t>
  </si>
  <si>
    <t>1.2.3</t>
  </si>
  <si>
    <t>以上钢筋</t>
  </si>
  <si>
    <t>1.2.4</t>
  </si>
  <si>
    <t>脱硫站平台钢结构</t>
  </si>
  <si>
    <t>钢结构设计详图设计、材料供货、除锈防腐、隔热、制作、探伤、运输、卸车、拼装、吊装、安装、涂漆、接地等全部工作内容</t>
  </si>
  <si>
    <t>1.2.5</t>
  </si>
  <si>
    <t>高位料仓</t>
  </si>
  <si>
    <t>1.2.6</t>
  </si>
  <si>
    <t>平台隔热喷涂料</t>
  </si>
  <si>
    <t>隔热板下部及侧向外表面喷涂 50mm厚隔热材料, 要求耐火度不小于700度，材料容重不大于1t/m3</t>
  </si>
  <si>
    <t>m³</t>
  </si>
  <si>
    <t>供货、接货、开箱清点、场内运输、检、试验、（含外观、理化等检、试验）、铺贴喷隔热材料及配套的固定件、清理表面等全部工作内容</t>
  </si>
  <si>
    <t>添主材</t>
  </si>
  <si>
    <t>1.2.7</t>
  </si>
  <si>
    <t>耐火砖</t>
  </si>
  <si>
    <r>
      <rPr>
        <sz val="10"/>
        <rFont val="宋体"/>
        <charset val="134"/>
      </rPr>
      <t>高铝砖、硅碳砖</t>
    </r>
    <r>
      <rPr>
        <sz val="10"/>
        <rFont val="Times New Roman"/>
        <charset val="134"/>
      </rPr>
      <t>‌</t>
    </r>
    <r>
      <rPr>
        <sz val="10"/>
        <rFont val="宋体"/>
        <charset val="134"/>
      </rPr>
      <t>、镁碳砖；</t>
    </r>
    <r>
      <rPr>
        <sz val="10"/>
        <rFont val="Times New Roman"/>
        <charset val="134"/>
      </rPr>
      <t>1550℃</t>
    </r>
  </si>
  <si>
    <t>供货，接货、开箱清点、运输、检（试）验、（含外观、理化等检、试验）、砌筑（含预砌筑、预组装、选砖、机械集中磨砖、机械集中切砖）、二次勾缝吹风清扫、镶铁件、模板装拆等全部工作内容</t>
  </si>
  <si>
    <r>
      <rPr>
        <sz val="10"/>
        <rFont val="宋体"/>
        <charset val="0"/>
      </rPr>
      <t>脱硫站轨道及基础</t>
    </r>
  </si>
  <si>
    <t>1.3.1</t>
  </si>
  <si>
    <t>轨道基础</t>
  </si>
  <si>
    <t>1.3.2</t>
  </si>
  <si>
    <t>轨道基础钢筋</t>
  </si>
  <si>
    <t>1.3.3</t>
  </si>
  <si>
    <t>地面钢轨</t>
  </si>
  <si>
    <t>矫直、切割、坡口、吊装、手下工焊接、找正、连接接头、压轨器(含主材)供货及安装、车挡制作、接地安装等全部工作内容</t>
  </si>
  <si>
    <t>1.3.4</t>
  </si>
  <si>
    <t>电缆卷筒钢平台</t>
  </si>
  <si>
    <t>新建参观通道</t>
  </si>
  <si>
    <t>1.4.1</t>
  </si>
  <si>
    <t>精炼炉及脱硫走道钢平台</t>
  </si>
  <si>
    <t>1.4.2</t>
  </si>
  <si>
    <t>1.4.3</t>
  </si>
  <si>
    <t>墙面彩板</t>
  </si>
  <si>
    <t>1.4.4</t>
  </si>
  <si>
    <t>钢化玻璃隔断</t>
  </si>
  <si>
    <t>单层钢化玻璃，不小于6mm</t>
  </si>
  <si>
    <t>供货、运输、安装、调试等全部工作内容</t>
  </si>
  <si>
    <r>
      <rPr>
        <sz val="10"/>
        <rFont val="宋体"/>
        <charset val="134"/>
      </rPr>
      <t>建筑小房</t>
    </r>
  </si>
  <si>
    <t>1.5.1</t>
  </si>
  <si>
    <t>液压站</t>
  </si>
  <si>
    <t>砖混结构</t>
  </si>
  <si>
    <t>降水、排水、土石方(含特殊爆破)挖运填、基础、截（接）桩头、桩锚筋、桩锚板、PHC桩混凝土填芯、基坑支护、钢筋供货及制安、混凝土结构（含构件）、砌体及其涂料，楼面顶棚涂料，楼面、屋面及其防水、防火、隔热、保温层，门窗，地面防潮层，地面铺砌、预埋铁件、预埋管道、钢构件、钢结构KMD设计、脚手架，界面剂，伸缩缝，隔断，踢脚线、散水、坡道、装修及零星构筑物(如电缆沟及其盖板)等全部土建工作内容及照明(包括照明电缆电线、配管、灯具、整流器（断路器、触发器）、开关、插座、照明箱等主材供货及安装等) 、防雷接地、室内外给排水（含淋浴、洗脸盆、污水池、大小便器、管道等），空调电源线路、弱电线路及插座等全部工作内容</t>
  </si>
  <si>
    <t>1.5.2</t>
  </si>
  <si>
    <t>操作室（精装修）</t>
  </si>
  <si>
    <t>1.5.3</t>
  </si>
  <si>
    <t>电气室</t>
  </si>
  <si>
    <t>1.5.4</t>
  </si>
  <si>
    <t>工具、休息间</t>
  </si>
  <si>
    <r>
      <rPr>
        <sz val="10"/>
        <rFont val="宋体"/>
        <charset val="134"/>
      </rPr>
      <t>风机房及电气室改造</t>
    </r>
  </si>
  <si>
    <t>1.6.1</t>
  </si>
  <si>
    <t>内墙面</t>
  </si>
  <si>
    <t>1、涂料
2、3厚耐水腻子分遍找平
3、10厚DP M5砂浆（1:1:6水泥石灰膏砂浆）或粉刷石膏砂浆打底抹平</t>
  </si>
  <si>
    <t>调运砂浆、抹灰、涂料等全部工作内容</t>
  </si>
  <si>
    <t>1.6.2</t>
  </si>
  <si>
    <t>顶棚面</t>
  </si>
  <si>
    <t>1、现浇(或预制)钢筋混凝土板
2、2~3厚面层耐水腻子刮平
3、刷(喷)涂料</t>
  </si>
  <si>
    <t>1.6.3</t>
  </si>
  <si>
    <t>电动卷帘门</t>
  </si>
  <si>
    <r>
      <rPr>
        <sz val="10"/>
        <rFont val="宋体"/>
        <charset val="0"/>
      </rPr>
      <t>其他零星构筑物</t>
    </r>
  </si>
  <si>
    <t>1.7.1</t>
  </si>
  <si>
    <t>地下管廊加固混凝土</t>
  </si>
  <si>
    <t>降水、排水、挖填运土石方(含特殊爆破)、基础垫层、模板安拆堆放、截（接）桩头、填桩芯、预埋铁件（含钢管、套筒、防雷接地极、地脚螺栓等）制安、植筋、砼浇捣养护、脚手架搭拆、铁件刷油、浇灌（灌浆）、固定架制安等全部工作内容</t>
  </si>
  <si>
    <t>1.7.2</t>
  </si>
  <si>
    <t>管道支架基础</t>
  </si>
  <si>
    <t>1.7.3</t>
  </si>
  <si>
    <t>烟囱基础</t>
  </si>
  <si>
    <t>1.7.4</t>
  </si>
  <si>
    <t>铁水秤基础</t>
  </si>
  <si>
    <t>1.7.5</t>
  </si>
  <si>
    <t>新建排水沟及盖板</t>
  </si>
  <si>
    <t>1.7.6</t>
  </si>
  <si>
    <t>轨道衡基础</t>
  </si>
  <si>
    <t>1.7.7</t>
  </si>
  <si>
    <t>道口板基础</t>
  </si>
  <si>
    <t>C40(钢筋单列)</t>
  </si>
  <si>
    <t>1.7.8</t>
  </si>
  <si>
    <t>1.7.9</t>
  </si>
  <si>
    <t>管道支架钢结构</t>
  </si>
  <si>
    <t>1.7.10</t>
  </si>
  <si>
    <t>钢烟囱</t>
  </si>
  <si>
    <t>1.7.11</t>
  </si>
  <si>
    <t>1.7.12</t>
  </si>
  <si>
    <t>墙基础</t>
  </si>
  <si>
    <t>1.7.13</t>
  </si>
  <si>
    <t>墙基础钢筋</t>
  </si>
  <si>
    <t>1.7.14</t>
  </si>
  <si>
    <t>240mm厚砖墙</t>
  </si>
  <si>
    <t>1.7.15</t>
  </si>
  <si>
    <t>4厚钢板</t>
  </si>
  <si>
    <t>钢板供货、铺贴及固定等满足施工图、施工规范要求的全部工作内容</t>
  </si>
  <si>
    <t>1.7.16</t>
  </si>
  <si>
    <t>4mm厚PVC门帘</t>
  </si>
  <si>
    <t>1.7.17</t>
  </si>
  <si>
    <t>室外硬化地坪</t>
  </si>
  <si>
    <t>150厚碎石垫层上铺100厚C20细石混凝土</t>
  </si>
  <si>
    <r>
      <rPr>
        <sz val="10"/>
        <rFont val="宋体"/>
        <charset val="134"/>
      </rPr>
      <t>地基处理</t>
    </r>
  </si>
  <si>
    <t>1.8.1</t>
  </si>
  <si>
    <t>钻孔灌注桩</t>
  </si>
  <si>
    <t>C30抗渗(钢筋单列)</t>
  </si>
  <si>
    <t>降水、排水、机械进出场、安装防护口管、钻孔、就位、挖泥浆沟槽、泥浆运输、钢筋笼放置、灌注水下混凝土、压密注浆、振捣、养护；土石方清理运输弃置；桩基检测、检验、试验、报验等全部工作内容</t>
  </si>
  <si>
    <t>1.8.2</t>
  </si>
  <si>
    <t>钻孔灌注桩钢筋</t>
  </si>
  <si>
    <t>1.8.3</t>
  </si>
  <si>
    <t>地基换填</t>
  </si>
  <si>
    <t>级配砂夹石</t>
  </si>
  <si>
    <t>降水、排水、挖填运土石方、换填材料供货填充、碾压夯实等满足施工图、施工规范要求的全部工作内容</t>
  </si>
  <si>
    <r>
      <rPr>
        <sz val="10"/>
        <rFont val="宋体"/>
        <charset val="0"/>
      </rPr>
      <t>工艺设施</t>
    </r>
  </si>
  <si>
    <t>*2.1</t>
  </si>
  <si>
    <r>
      <rPr>
        <sz val="10"/>
        <rFont val="宋体"/>
        <charset val="0"/>
      </rPr>
      <t>设备安装</t>
    </r>
  </si>
  <si>
    <t>*2.1.1</t>
  </si>
  <si>
    <t>搅拌头</t>
  </si>
  <si>
    <t>个</t>
  </si>
  <si>
    <t>接货、开箱清点、场内运输、外观检查、设备清洗、吊装、拼装、联结、安装就位、调整、固定、灌浆、电机检查接线、接地连接及设备本体的单体调试、配合机组联动试车和热负荷试车，以及配合业主办理特种设备、压力管道等报审报验及使用许可证等全部工作内容</t>
  </si>
  <si>
    <t>*2.1.2</t>
  </si>
  <si>
    <t>搅拌头旋转装置</t>
  </si>
  <si>
    <t>套</t>
  </si>
  <si>
    <t>*2.1.3</t>
  </si>
  <si>
    <t>搅拌头升降装置</t>
  </si>
  <si>
    <t>*2.1.4</t>
  </si>
  <si>
    <t>升降导轨及框架</t>
  </si>
  <si>
    <t>*2.1.5</t>
  </si>
  <si>
    <t>称量斗</t>
  </si>
  <si>
    <t>*2.1.6</t>
  </si>
  <si>
    <t>电动升降溜槽</t>
  </si>
  <si>
    <t>*2.1.7</t>
  </si>
  <si>
    <t>翻转检修平台</t>
  </si>
  <si>
    <t>*2.1.8</t>
  </si>
  <si>
    <t>搅拌头更换小车</t>
  </si>
  <si>
    <t>*2.1.9</t>
  </si>
  <si>
    <t>翻板轨道</t>
  </si>
  <si>
    <t>*2.1.10</t>
  </si>
  <si>
    <t>吹气赶渣装置</t>
  </si>
  <si>
    <t>*2.1.11</t>
  </si>
  <si>
    <t>搅拌头吊具</t>
  </si>
  <si>
    <t>*2.1.12</t>
  </si>
  <si>
    <t>铁水倾翻车防尘门</t>
  </si>
  <si>
    <t>*2.1.13</t>
  </si>
  <si>
    <t>渣罐车防尘门</t>
  </si>
  <si>
    <t>*2.1.14</t>
  </si>
  <si>
    <t>破渣装置</t>
  </si>
  <si>
    <t>*2.1.15</t>
  </si>
  <si>
    <t>脱硫液压站</t>
  </si>
  <si>
    <t>*2.1.16</t>
  </si>
  <si>
    <t>料仓顶的布袋除尘器</t>
  </si>
  <si>
    <t>台</t>
  </si>
  <si>
    <t>*2.1.17</t>
  </si>
  <si>
    <t>压力释放阀</t>
  </si>
  <si>
    <t>*2.1.18</t>
  </si>
  <si>
    <t>给料系统的配管</t>
  </si>
  <si>
    <t>*2.1.19</t>
  </si>
  <si>
    <t>给料系统的耐磨弯管</t>
  </si>
  <si>
    <t>*2.1.20</t>
  </si>
  <si>
    <t>给料系统的手动阀门</t>
  </si>
  <si>
    <t>组</t>
  </si>
  <si>
    <t>*2.1.21</t>
  </si>
  <si>
    <t>流化装置（料仓/称量斗）</t>
  </si>
  <si>
    <t>*2.1.22</t>
  </si>
  <si>
    <t>料仓下方的手动物料切断阀</t>
  </si>
  <si>
    <t>*2.1.23</t>
  </si>
  <si>
    <t>料仓下方的旋转给料器</t>
  </si>
  <si>
    <t>*2.1.24</t>
  </si>
  <si>
    <t>称量斗下方气动物料切断阀</t>
  </si>
  <si>
    <t>*2.1.25</t>
  </si>
  <si>
    <t>称量斗下方的旋转给料器</t>
  </si>
  <si>
    <t>*2.1.26</t>
  </si>
  <si>
    <t>软连接件</t>
  </si>
  <si>
    <t>*2.1.27</t>
  </si>
  <si>
    <t>铁水罐倾翻车</t>
  </si>
  <si>
    <t>*2.1.28</t>
  </si>
  <si>
    <t>渣罐车</t>
  </si>
  <si>
    <t>*2.1.29</t>
  </si>
  <si>
    <t>扒渣机</t>
  </si>
  <si>
    <t>*2.1.30</t>
  </si>
  <si>
    <t>测温取样机器人</t>
  </si>
  <si>
    <t>*2.1.31</t>
  </si>
  <si>
    <t>120t铁水包</t>
  </si>
  <si>
    <t>接货、开箱清点、场内运输、外观检查、存放在指定位置保管等全部工作内容</t>
  </si>
  <si>
    <t>*2.1.32</t>
  </si>
  <si>
    <t>金属软管</t>
  </si>
  <si>
    <t>量尺寸、断管、连接接头、钻眼、攻丝、固定等全部工作内容</t>
  </si>
  <si>
    <t>*2.1.33</t>
  </si>
  <si>
    <r>
      <rPr>
        <sz val="10"/>
        <rFont val="Times New Roman"/>
        <charset val="134"/>
      </rPr>
      <t>160t</t>
    </r>
    <r>
      <rPr>
        <sz val="10"/>
        <rFont val="宋体"/>
        <charset val="134"/>
      </rPr>
      <t>铸造起重机龙门钩</t>
    </r>
  </si>
  <si>
    <r>
      <rPr>
        <sz val="10"/>
        <rFont val="宋体"/>
        <charset val="134"/>
      </rPr>
      <t>套</t>
    </r>
  </si>
  <si>
    <t>接货、开箱清点、场内运输、外观检查、设备清洗、吊装、拼装、联结、接地、安装就位、电机检查接线、调整、固定及设备本体的单体调试、空负荷试车、配合机组热负荷试车，以及通过特种设备报验，取得运行合格证书等全部工作内容</t>
  </si>
  <si>
    <t>*2.1.34</t>
  </si>
  <si>
    <r>
      <rPr>
        <sz val="10"/>
        <rFont val="Times New Roman"/>
        <charset val="134"/>
      </rPr>
      <t>16t</t>
    </r>
    <r>
      <rPr>
        <sz val="10"/>
        <rFont val="宋体"/>
        <charset val="134"/>
      </rPr>
      <t>双梁通用桥式起重机</t>
    </r>
  </si>
  <si>
    <r>
      <rPr>
        <sz val="10"/>
        <rFont val="宋体"/>
        <charset val="134"/>
      </rPr>
      <t>个</t>
    </r>
  </si>
  <si>
    <t>*2.1.35</t>
  </si>
  <si>
    <r>
      <rPr>
        <sz val="10"/>
        <rFont val="Times New Roman"/>
        <charset val="134"/>
      </rPr>
      <t>3t</t>
    </r>
    <r>
      <rPr>
        <sz val="10"/>
        <rFont val="宋体"/>
        <charset val="134"/>
      </rPr>
      <t>扒渣板更换电动葫芦</t>
    </r>
  </si>
  <si>
    <t>接货、开箱清点、场内运输、外观检查、设备清洗、吊装、拼装、联结、接地、安装就位、调整、固定、配套电气材料供货及安装、设备本体的单体调试、空负荷试车、配合机组热负荷试车，以及通过特种设备报验，取得运行合格证书等全部工作内容</t>
  </si>
  <si>
    <t>*2.1.36</t>
  </si>
  <si>
    <r>
      <rPr>
        <sz val="10"/>
        <rFont val="Times New Roman"/>
        <charset val="134"/>
      </rPr>
      <t>1t</t>
    </r>
    <r>
      <rPr>
        <sz val="10"/>
        <rFont val="宋体"/>
        <charset val="134"/>
      </rPr>
      <t>吹气赶渣枪更换电动葫芦</t>
    </r>
  </si>
  <si>
    <t>*2.1.37</t>
  </si>
  <si>
    <t>行车恢复安装</t>
  </si>
  <si>
    <t>16t</t>
  </si>
  <si>
    <t>*2.1.38</t>
  </si>
  <si>
    <r>
      <rPr>
        <sz val="10"/>
        <rFont val="Times New Roman"/>
        <charset val="134"/>
      </rPr>
      <t>3t</t>
    </r>
    <r>
      <rPr>
        <sz val="10"/>
        <rFont val="宋体"/>
        <charset val="134"/>
      </rPr>
      <t>起重机检修电动葫芦</t>
    </r>
  </si>
  <si>
    <r>
      <rPr>
        <sz val="10"/>
        <rFont val="宋体"/>
        <charset val="134"/>
      </rPr>
      <t>材料及安装</t>
    </r>
  </si>
  <si>
    <t>2.2.1</t>
  </si>
  <si>
    <t>高铝砖、硅碳砖‌、镁碳砖；1550℃</t>
  </si>
  <si>
    <t>2.2.2</t>
  </si>
  <si>
    <t>不锈钢液压中间配管</t>
  </si>
  <si>
    <t>管道、管件及材料性阀门供货及安装、管支架及管夹制作安装、水冲洗及水试漏，管道酸洗、碱洗、预膜、脱脂、水冲洗、钝化、管道吹扫，系统油冲洗，油压试验，冲洗用油（分包方供货）、滤芯及酸洗、冲洗用的临时设施安装及拆除、接地、标识等全部工作内容</t>
  </si>
  <si>
    <r>
      <rPr>
        <sz val="10"/>
        <rFont val="宋体"/>
        <charset val="134"/>
      </rPr>
      <t>燃气设施</t>
    </r>
  </si>
  <si>
    <t>*3.1</t>
  </si>
  <si>
    <r>
      <rPr>
        <sz val="10"/>
        <rFont val="宋体"/>
        <charset val="134"/>
      </rPr>
      <t>设备安装</t>
    </r>
  </si>
  <si>
    <t>*3.1.1</t>
  </si>
  <si>
    <t>氮气球阀</t>
  </si>
  <si>
    <t>DN125</t>
  </si>
  <si>
    <t>接货、开箱清点、场内运输、外观检查、设备清洗、吊装、拼装、联结、安装就位、调整、固定、防雷接地、灌浆、电机检查接线、接地连接及设备本体的单体调试、配合机组联动试车和热负荷试车，以及配合业主办理特种设备、压力管道等报审及使用许可证等全部工作内容</t>
  </si>
  <si>
    <t>*3.1.2</t>
  </si>
  <si>
    <t>DN100</t>
  </si>
  <si>
    <t>*3.1.3</t>
  </si>
  <si>
    <t>DN50</t>
  </si>
  <si>
    <t>*3.1.4</t>
  </si>
  <si>
    <t>氧气专用截止阀</t>
  </si>
  <si>
    <t>DN80</t>
  </si>
  <si>
    <r>
      <rPr>
        <sz val="10"/>
        <rFont val="宋体"/>
        <charset val="134"/>
      </rPr>
      <t>台</t>
    </r>
  </si>
  <si>
    <t>*3.1.5</t>
  </si>
  <si>
    <t>DN25</t>
  </si>
  <si>
    <t>*3.1.6</t>
  </si>
  <si>
    <r>
      <rPr>
        <sz val="10"/>
        <rFont val="宋体"/>
        <charset val="0"/>
      </rPr>
      <t>氧气用点阀箱</t>
    </r>
  </si>
  <si>
    <t>*3.1.7</t>
  </si>
  <si>
    <r>
      <rPr>
        <sz val="10"/>
        <rFont val="宋体"/>
        <charset val="134"/>
      </rPr>
      <t>手提式干粉灭火器</t>
    </r>
  </si>
  <si>
    <r>
      <rPr>
        <sz val="10"/>
        <rFont val="宋体"/>
        <charset val="134"/>
      </rPr>
      <t>具</t>
    </r>
  </si>
  <si>
    <t>*3.1.8</t>
  </si>
  <si>
    <r>
      <rPr>
        <sz val="10"/>
        <rFont val="宋体"/>
        <charset val="134"/>
      </rPr>
      <t>手提式二氧化碳灭火器</t>
    </r>
  </si>
  <si>
    <t>*3.1.9</t>
  </si>
  <si>
    <r>
      <rPr>
        <sz val="10"/>
        <rFont val="宋体"/>
        <charset val="134"/>
      </rPr>
      <t>灭火器箱</t>
    </r>
  </si>
  <si>
    <t>3.2.1</t>
  </si>
  <si>
    <t>无缝钢管</t>
  </si>
  <si>
    <r>
      <rPr>
        <sz val="10"/>
        <rFont val="宋体"/>
        <charset val="134"/>
      </rPr>
      <t>各种规格、各种型号、各种材质</t>
    </r>
  </si>
  <si>
    <r>
      <rPr>
        <sz val="10"/>
        <rFont val="宋体"/>
        <charset val="134"/>
      </rPr>
      <t>吨</t>
    </r>
  </si>
  <si>
    <t>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</t>
  </si>
  <si>
    <t>3.2.2</t>
  </si>
  <si>
    <r>
      <rPr>
        <sz val="10"/>
        <rFont val="宋体"/>
        <charset val="0"/>
      </rPr>
      <t>不锈钢钢管</t>
    </r>
  </si>
  <si>
    <t>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刷油、防腐、标识等全部工作内容</t>
  </si>
  <si>
    <t>贵了  其他家的3万-3.3</t>
  </si>
  <si>
    <r>
      <rPr>
        <sz val="10"/>
        <rFont val="宋体"/>
        <charset val="134"/>
      </rPr>
      <t>热力设施</t>
    </r>
  </si>
  <si>
    <t>*4.1</t>
  </si>
  <si>
    <t>*4.1.1</t>
  </si>
  <si>
    <r>
      <rPr>
        <sz val="10"/>
        <rFont val="宋体"/>
        <charset val="134"/>
      </rPr>
      <t>法兰连接手动闸阀</t>
    </r>
  </si>
  <si>
    <t>DN150</t>
  </si>
  <si>
    <t>*4.1.2</t>
  </si>
  <si>
    <r>
      <rPr>
        <sz val="10"/>
        <rFont val="宋体"/>
        <charset val="134"/>
      </rPr>
      <t>法兰连接截止阀</t>
    </r>
  </si>
  <si>
    <t>DN65</t>
  </si>
  <si>
    <t>*4.1.3</t>
  </si>
  <si>
    <t>DN40</t>
  </si>
  <si>
    <t>*4.1.4</t>
  </si>
  <si>
    <t>*4.1.5</t>
  </si>
  <si>
    <t>DN15</t>
  </si>
  <si>
    <t>4.2.1</t>
  </si>
  <si>
    <r>
      <rPr>
        <sz val="10"/>
        <rFont val="宋体"/>
        <charset val="134"/>
      </rPr>
      <t>给排水设施</t>
    </r>
  </si>
  <si>
    <t>5.1.1</t>
  </si>
  <si>
    <r>
      <rPr>
        <sz val="10"/>
        <rFont val="宋体"/>
        <charset val="134"/>
      </rPr>
      <t>焊接钢管</t>
    </r>
  </si>
  <si>
    <t>5.1.2</t>
  </si>
  <si>
    <r>
      <rPr>
        <sz val="10"/>
        <rFont val="宋体"/>
        <charset val="134"/>
      </rPr>
      <t>镀锌钢管</t>
    </r>
  </si>
  <si>
    <t>5.1.3</t>
  </si>
  <si>
    <r>
      <rPr>
        <sz val="10"/>
        <rFont val="宋体"/>
        <charset val="134"/>
      </rPr>
      <t>焊接钢管（埋地）</t>
    </r>
  </si>
  <si>
    <t>土石方挖运填（含特殊爆破）、降水、排水、垫层、基础；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</t>
  </si>
  <si>
    <t>5.1.4</t>
  </si>
  <si>
    <r>
      <rPr>
        <sz val="10"/>
        <rFont val="宋体"/>
        <charset val="134"/>
      </rPr>
      <t>高密度聚乙烯（</t>
    </r>
    <r>
      <rPr>
        <sz val="10"/>
        <rFont val="Times New Roman"/>
        <charset val="134"/>
      </rPr>
      <t>HDPE</t>
    </r>
    <r>
      <rPr>
        <sz val="10"/>
        <rFont val="宋体"/>
        <charset val="134"/>
      </rPr>
      <t>）缠绕埋地管</t>
    </r>
  </si>
  <si>
    <t>d800</t>
  </si>
  <si>
    <r>
      <rPr>
        <sz val="10"/>
        <rFont val="宋体"/>
        <charset val="134"/>
      </rPr>
      <t>米</t>
    </r>
  </si>
  <si>
    <t>挖填运方、排水、垫层、基础、管道及管道附件供货、敷设连接、检验试验及完成图纸、规范及完整工序要求的全部工作内容</t>
  </si>
  <si>
    <t>5.1.5</t>
  </si>
  <si>
    <t>高密度聚乙烯（HDPE）缠绕埋地管</t>
  </si>
  <si>
    <t>d300</t>
  </si>
  <si>
    <t>5.1.6</t>
  </si>
  <si>
    <t>d400</t>
  </si>
  <si>
    <t>5.1.7</t>
  </si>
  <si>
    <r>
      <rPr>
        <sz val="10"/>
        <rFont val="宋体"/>
        <charset val="134"/>
      </rPr>
      <t>室内消火栓</t>
    </r>
    <r>
      <rPr>
        <sz val="10"/>
        <rFont val="Times New Roman"/>
        <charset val="134"/>
      </rPr>
      <t xml:space="preserve">DN65  </t>
    </r>
    <r>
      <rPr>
        <sz val="10"/>
        <rFont val="宋体"/>
        <charset val="134"/>
      </rPr>
      <t>含水带及水枪</t>
    </r>
  </si>
  <si>
    <t>供货、安装及验收等满足施工图纸及规范要求的全部工作内容</t>
  </si>
  <si>
    <t>5.1.8</t>
  </si>
  <si>
    <r>
      <rPr>
        <sz val="10"/>
        <rFont val="宋体"/>
        <charset val="134"/>
      </rPr>
      <t>钢混检查井</t>
    </r>
  </si>
  <si>
    <r>
      <rPr>
        <sz val="10"/>
        <rFont val="Times New Roman"/>
        <charset val="134"/>
      </rPr>
      <t>Ø1200</t>
    </r>
    <r>
      <rPr>
        <sz val="10"/>
        <rFont val="宋体"/>
        <charset val="134"/>
      </rPr>
      <t>，参</t>
    </r>
    <r>
      <rPr>
        <sz val="10"/>
        <rFont val="Times New Roman"/>
        <charset val="134"/>
      </rPr>
      <t>02S515</t>
    </r>
  </si>
  <si>
    <r>
      <rPr>
        <sz val="10"/>
        <rFont val="宋体"/>
        <charset val="134"/>
      </rPr>
      <t>座</t>
    </r>
  </si>
  <si>
    <t>降水、排水、土石方挖运填（含特殊爆破）、材料运输、砂浆制作、运输、铺设垫层 、钢筋、混凝土制作、运输、浇筑、振捣、养护、砌砖、勾缝、井池底、壁抹灰、抹防潮层、回填、井盖等全部工作内容</t>
  </si>
  <si>
    <t>5.1.9</t>
  </si>
  <si>
    <r>
      <rPr>
        <sz val="10"/>
        <rFont val="Times New Roman"/>
        <charset val="134"/>
      </rPr>
      <t>HDPE</t>
    </r>
    <r>
      <rPr>
        <sz val="10"/>
        <rFont val="宋体"/>
        <charset val="134"/>
      </rPr>
      <t>检查井</t>
    </r>
  </si>
  <si>
    <r>
      <rPr>
        <sz val="10"/>
        <rFont val="Times New Roman"/>
        <charset val="134"/>
      </rPr>
      <t>Ø1000</t>
    </r>
    <r>
      <rPr>
        <sz val="10"/>
        <rFont val="宋体"/>
        <charset val="134"/>
      </rPr>
      <t>，参</t>
    </r>
    <r>
      <rPr>
        <sz val="10"/>
        <rFont val="Times New Roman"/>
        <charset val="134"/>
      </rPr>
      <t>08SS523</t>
    </r>
  </si>
  <si>
    <t>5.1.10</t>
  </si>
  <si>
    <r>
      <rPr>
        <sz val="10"/>
        <rFont val="宋体"/>
        <charset val="134"/>
      </rPr>
      <t>砖砌雨水口</t>
    </r>
  </si>
  <si>
    <r>
      <rPr>
        <sz val="10"/>
        <rFont val="宋体"/>
        <charset val="134"/>
      </rPr>
      <t>参</t>
    </r>
    <r>
      <rPr>
        <sz val="10"/>
        <rFont val="Times New Roman"/>
        <charset val="134"/>
      </rPr>
      <t>05S518</t>
    </r>
  </si>
  <si>
    <t>降水、排水、土石方挖运填（含特殊爆破）、材料运输、砂浆制作、运输、铺设垫层 、钢筋、混凝土制作、运输、浇筑、振捣、养护、砌砖、勾缝、池底、壁抹灰、抹防潮层、回填、雨水箅子等全部工作内容</t>
  </si>
  <si>
    <r>
      <rPr>
        <sz val="10"/>
        <rFont val="宋体"/>
        <charset val="134"/>
      </rPr>
      <t>通风设施</t>
    </r>
  </si>
  <si>
    <t>*6.1</t>
  </si>
  <si>
    <t>*6.1.1</t>
  </si>
  <si>
    <t>水冷柜式空调机</t>
  </si>
  <si>
    <t>接货、开箱清点、场内运输、外观检查、设备清洗、吊装、拼装、联结、基础型钢底座的供货及安装、就位、调整、固定、防雷接地、灌浆、电机检查接线、接地连接及设备本体的单体调试、配合机组联动试车和热负荷试车，以及配合业主办理特种设备、压力管道等报审及使用许可证等全部工作内容</t>
  </si>
  <si>
    <t>*6.1.2</t>
  </si>
  <si>
    <t>风冷柜式空调机</t>
  </si>
  <si>
    <t>*6.1.3</t>
  </si>
  <si>
    <t>轴流通风机</t>
  </si>
  <si>
    <t>*6.1.4</t>
  </si>
  <si>
    <t>工业除湿机</t>
  </si>
  <si>
    <t>*6.1.5</t>
  </si>
  <si>
    <t>屋顶风机</t>
  </si>
  <si>
    <t>*6.1.6</t>
  </si>
  <si>
    <r>
      <rPr>
        <sz val="10"/>
        <rFont val="宋体"/>
        <charset val="134"/>
      </rPr>
      <t>电动耐磨尘气蝶阀</t>
    </r>
  </si>
  <si>
    <t>DN1800</t>
  </si>
  <si>
    <t>*6.1.7</t>
  </si>
  <si>
    <t>DN1500</t>
  </si>
  <si>
    <t>*6.1.8</t>
  </si>
  <si>
    <t>DN900</t>
  </si>
  <si>
    <t>*6.1.9</t>
  </si>
  <si>
    <r>
      <rPr>
        <sz val="10"/>
        <rFont val="宋体"/>
        <charset val="134"/>
      </rPr>
      <t>离心通风机及电机</t>
    </r>
  </si>
  <si>
    <r>
      <rPr>
        <sz val="10"/>
        <rFont val="Times New Roman"/>
        <charset val="134"/>
      </rPr>
      <t>70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 5500Pa</t>
    </r>
    <r>
      <rPr>
        <sz val="10"/>
        <rFont val="宋体"/>
        <charset val="134"/>
      </rPr>
      <t>；电机</t>
    </r>
    <r>
      <rPr>
        <sz val="10"/>
        <rFont val="Times New Roman"/>
        <charset val="134"/>
      </rPr>
      <t>1600kW 10kV</t>
    </r>
  </si>
  <si>
    <t>*6.1.10</t>
  </si>
  <si>
    <r>
      <rPr>
        <sz val="10"/>
        <rFont val="宋体"/>
        <charset val="134"/>
      </rPr>
      <t>非金属补偿器</t>
    </r>
  </si>
  <si>
    <t>3281x820</t>
  </si>
  <si>
    <t>*6.1.11</t>
  </si>
  <si>
    <t>1980x2704</t>
  </si>
  <si>
    <t>6.2.1</t>
  </si>
  <si>
    <t>风管</t>
  </si>
  <si>
    <r>
      <rPr>
        <sz val="10"/>
        <rFont val="宋体"/>
        <charset val="134"/>
      </rPr>
      <t>各种规格、各种型号、</t>
    </r>
    <r>
      <rPr>
        <sz val="10"/>
        <rFont val="Times New Roman"/>
        <charset val="134"/>
      </rPr>
      <t>Q235</t>
    </r>
  </si>
  <si>
    <t>管道、管件及附件（含各类材料类阀门、法兰、支吊架、管托、管箍、加固筋、紧固件）供货、敷设、套管制作安装、检验、接地、隔热、试验、阀门研磨、试压、酸洗、脱脂、钝化、探伤、吹扫、冲（清）洗、除锈、刷油、防腐、标识等全部工作内容</t>
  </si>
  <si>
    <t>主材贵 7400</t>
  </si>
  <si>
    <t>不挑</t>
  </si>
  <si>
    <r>
      <rPr>
        <sz val="10"/>
        <rFont val="宋体"/>
        <charset val="134"/>
      </rPr>
      <t>电气设施</t>
    </r>
  </si>
  <si>
    <t>*7.1</t>
  </si>
  <si>
    <t>*7.1.1</t>
  </si>
  <si>
    <r>
      <rPr>
        <sz val="10"/>
        <rFont val="宋体"/>
        <charset val="134"/>
      </rPr>
      <t>配电柜</t>
    </r>
  </si>
  <si>
    <t>接货、开箱检查，场内运输、外观检查、基础型钢供货及制作安装、本体安装、干燥、端子箱(汇控箱)安装、刷(喷)油漆、接地连接、防火堵洞、试验和调试等全部工作内容</t>
  </si>
  <si>
    <t>*7.1.2</t>
  </si>
  <si>
    <r>
      <rPr>
        <sz val="10"/>
        <rFont val="宋体"/>
        <charset val="134"/>
      </rPr>
      <t>电气柜</t>
    </r>
  </si>
  <si>
    <t>*7.1.3</t>
  </si>
  <si>
    <r>
      <rPr>
        <sz val="10"/>
        <rFont val="宋体"/>
        <charset val="134"/>
      </rPr>
      <t>动力配电箱</t>
    </r>
  </si>
  <si>
    <t>*7.1.4</t>
  </si>
  <si>
    <r>
      <rPr>
        <sz val="10"/>
        <rFont val="宋体"/>
        <charset val="134"/>
      </rPr>
      <t>操作箱</t>
    </r>
  </si>
  <si>
    <t>*7.1.5</t>
  </si>
  <si>
    <r>
      <rPr>
        <sz val="10"/>
        <rFont val="宋体"/>
        <charset val="134"/>
      </rPr>
      <t>操作台</t>
    </r>
  </si>
  <si>
    <t>*7.1.6</t>
  </si>
  <si>
    <r>
      <rPr>
        <sz val="10"/>
        <rFont val="宋体"/>
        <charset val="134"/>
      </rPr>
      <t>开关盒</t>
    </r>
  </si>
  <si>
    <t>*7.1.7</t>
  </si>
  <si>
    <r>
      <rPr>
        <sz val="10"/>
        <rFont val="宋体"/>
        <charset val="134"/>
      </rPr>
      <t>现场检修箱</t>
    </r>
  </si>
  <si>
    <t>*7.1.8</t>
  </si>
  <si>
    <r>
      <rPr>
        <sz val="10"/>
        <rFont val="宋体"/>
        <charset val="134"/>
      </rPr>
      <t>端子箱</t>
    </r>
  </si>
  <si>
    <t>*7.1.9</t>
  </si>
  <si>
    <r>
      <rPr>
        <sz val="10"/>
        <rFont val="宋体"/>
        <charset val="134"/>
      </rPr>
      <t>照明配电箱</t>
    </r>
  </si>
  <si>
    <t>*7.1.10</t>
  </si>
  <si>
    <r>
      <rPr>
        <sz val="10"/>
        <rFont val="宋体"/>
        <charset val="134"/>
      </rPr>
      <t>接地箱</t>
    </r>
  </si>
  <si>
    <t>*7.1.11</t>
  </si>
  <si>
    <r>
      <rPr>
        <sz val="10"/>
        <rFont val="Times New Roman"/>
        <charset val="134"/>
      </rPr>
      <t>PROFINE</t>
    </r>
    <r>
      <rPr>
        <sz val="10"/>
        <rFont val="宋体"/>
        <charset val="134"/>
      </rPr>
      <t>网络组件</t>
    </r>
  </si>
  <si>
    <t>*7.1.12</t>
  </si>
  <si>
    <r>
      <rPr>
        <sz val="10"/>
        <rFont val="宋体"/>
        <charset val="134"/>
      </rPr>
      <t>阀门控制箱</t>
    </r>
  </si>
  <si>
    <t>*7.1.13</t>
  </si>
  <si>
    <r>
      <rPr>
        <sz val="10"/>
        <rFont val="宋体"/>
        <charset val="134"/>
      </rPr>
      <t>钢基铜导体滑触线</t>
    </r>
  </si>
  <si>
    <r>
      <rPr>
        <sz val="10"/>
        <rFont val="Times New Roman"/>
        <charset val="134"/>
      </rPr>
      <t xml:space="preserve">450A </t>
    </r>
    <r>
      <rPr>
        <sz val="10"/>
        <rFont val="宋体"/>
        <charset val="134"/>
      </rPr>
      <t>单相</t>
    </r>
  </si>
  <si>
    <t>米</t>
  </si>
  <si>
    <t>滑触线及拉紧装置、支持器（绝缘子）、集电气、信号灯、补偿母系等附件、安装支架的供货及制安、防腐、接地等全部工作内容</t>
  </si>
  <si>
    <t>7.2.1</t>
  </si>
  <si>
    <r>
      <rPr>
        <sz val="10"/>
        <rFont val="宋体"/>
        <charset val="134"/>
      </rPr>
      <t>移动耐高温动力电缆</t>
    </r>
    <r>
      <rPr>
        <sz val="10"/>
        <rFont val="Times New Roman"/>
        <charset val="134"/>
      </rPr>
      <t xml:space="preserve"> YGGR-450/750</t>
    </r>
  </si>
  <si>
    <t>4X2.5</t>
  </si>
  <si>
    <r>
      <rPr>
        <sz val="10"/>
        <rFont val="宋体"/>
        <charset val="134"/>
        <scheme val="minor"/>
      </rPr>
      <t>揭(盖)盖板、电缆</t>
    </r>
    <r>
      <rPr>
        <sz val="10"/>
        <color rgb="FFFF0000"/>
        <rFont val="宋体"/>
        <charset val="134"/>
        <scheme val="minor"/>
      </rPr>
      <t>（发包人供货）</t>
    </r>
    <r>
      <rPr>
        <sz val="10"/>
        <rFont val="宋体"/>
        <charset val="134"/>
        <scheme val="minor"/>
      </rPr>
      <t>敷设，线鼻子、防火堵洞、电缆防护、电缆防火隔板、电缆防火涂料、防火堵料供货安装等全部工作内容。</t>
    </r>
  </si>
  <si>
    <t>7.2.2</t>
  </si>
  <si>
    <t>4X4</t>
  </si>
  <si>
    <t>7.2.3</t>
  </si>
  <si>
    <r>
      <rPr>
        <sz val="10"/>
        <rFont val="宋体"/>
        <charset val="134"/>
      </rPr>
      <t>动力电缆</t>
    </r>
    <r>
      <rPr>
        <sz val="10"/>
        <rFont val="Times New Roman"/>
        <charset val="134"/>
      </rPr>
      <t xml:space="preserve">  ZR-YJV-0.6/1kV</t>
    </r>
  </si>
  <si>
    <t>2X2.5</t>
  </si>
  <si>
    <t>7.2.4</t>
  </si>
  <si>
    <t>3X2.5</t>
  </si>
  <si>
    <t>7.2.5</t>
  </si>
  <si>
    <t>2X4</t>
  </si>
  <si>
    <t>7.2.6</t>
  </si>
  <si>
    <t>2X16</t>
  </si>
  <si>
    <t>7.2.7</t>
  </si>
  <si>
    <t>2X50</t>
  </si>
  <si>
    <t>7.2.8</t>
  </si>
  <si>
    <t>7.2.9</t>
  </si>
  <si>
    <t>3X4</t>
  </si>
  <si>
    <t>7.2.10</t>
  </si>
  <si>
    <t>7.2.11</t>
  </si>
  <si>
    <t>7.2.12</t>
  </si>
  <si>
    <t>5X4</t>
  </si>
  <si>
    <t>7.2.13</t>
  </si>
  <si>
    <t>5X6</t>
  </si>
  <si>
    <t>7.2.14</t>
  </si>
  <si>
    <t>3X10</t>
  </si>
  <si>
    <t>7.2.15</t>
  </si>
  <si>
    <t>3X16</t>
  </si>
  <si>
    <t>7.2.16</t>
  </si>
  <si>
    <t>5X10</t>
  </si>
  <si>
    <t>7.2.17</t>
  </si>
  <si>
    <t>5X16</t>
  </si>
  <si>
    <t>7.2.18</t>
  </si>
  <si>
    <t>3X25+1X16</t>
  </si>
  <si>
    <t>7.2.19</t>
  </si>
  <si>
    <t>3X35+2X16</t>
  </si>
  <si>
    <t>7.2.20</t>
  </si>
  <si>
    <t>3X35+1X16</t>
  </si>
  <si>
    <t>7.2.21</t>
  </si>
  <si>
    <t>3X70+2X35</t>
  </si>
  <si>
    <t>7.2.22</t>
  </si>
  <si>
    <t>3X120+1X70</t>
  </si>
  <si>
    <t>7.2.23</t>
  </si>
  <si>
    <t>3X185+1X95</t>
  </si>
  <si>
    <t>7.2.24</t>
  </si>
  <si>
    <r>
      <rPr>
        <sz val="10"/>
        <rFont val="宋体"/>
        <charset val="134"/>
      </rPr>
      <t>耐高温动力软电缆</t>
    </r>
    <r>
      <rPr>
        <sz val="10"/>
        <rFont val="Times New Roman"/>
        <charset val="134"/>
      </rPr>
      <t xml:space="preserve"> ZR-YGCR-0.6/1kV</t>
    </r>
  </si>
  <si>
    <t>7.2.25</t>
  </si>
  <si>
    <r>
      <rPr>
        <sz val="10"/>
        <rFont val="宋体"/>
        <charset val="134"/>
      </rPr>
      <t>耐高温动力电缆</t>
    </r>
    <r>
      <rPr>
        <sz val="10"/>
        <rFont val="Times New Roman"/>
        <charset val="134"/>
      </rPr>
      <t xml:space="preserve"> ZR-YGG-0.6/1kV</t>
    </r>
  </si>
  <si>
    <t>7.2.26</t>
  </si>
  <si>
    <t>5X2.5</t>
  </si>
  <si>
    <t>7.2.27</t>
  </si>
  <si>
    <t>7.2.28</t>
  </si>
  <si>
    <t>7.2.29</t>
  </si>
  <si>
    <t>7.2.30</t>
  </si>
  <si>
    <r>
      <rPr>
        <sz val="10"/>
        <rFont val="宋体"/>
        <charset val="134"/>
      </rPr>
      <t>变频动力电缆</t>
    </r>
    <r>
      <rPr>
        <sz val="10"/>
        <rFont val="Times New Roman"/>
        <charset val="134"/>
      </rPr>
      <t xml:space="preserve"> ZR-BPGGP</t>
    </r>
  </si>
  <si>
    <t>3X4+3X0.75</t>
  </si>
  <si>
    <t>7.2.31</t>
  </si>
  <si>
    <t>3x95+3x16</t>
  </si>
  <si>
    <t>7.2.32</t>
  </si>
  <si>
    <t>3X50+3X10</t>
  </si>
  <si>
    <t>7.2.33</t>
  </si>
  <si>
    <t>3X16+3X2.5</t>
  </si>
  <si>
    <t>7.2.34</t>
  </si>
  <si>
    <t>3X120+3X25</t>
  </si>
  <si>
    <t>7.2.35</t>
  </si>
  <si>
    <r>
      <rPr>
        <sz val="10"/>
        <rFont val="宋体"/>
        <charset val="134"/>
      </rPr>
      <t>变频动力软电缆</t>
    </r>
    <r>
      <rPr>
        <sz val="10"/>
        <rFont val="Times New Roman"/>
        <charset val="134"/>
      </rPr>
      <t xml:space="preserve"> ZR-BPGGPR</t>
    </r>
  </si>
  <si>
    <t>7.2.36</t>
  </si>
  <si>
    <t>对绞屏蔽电缆 ZR-DJYVPR-500</t>
  </si>
  <si>
    <t>1X2X1.5</t>
  </si>
  <si>
    <t>7.2.37</t>
  </si>
  <si>
    <t>2X2X1.5</t>
  </si>
  <si>
    <t>7.2.38</t>
  </si>
  <si>
    <r>
      <rPr>
        <sz val="10"/>
        <rFont val="宋体"/>
        <charset val="134"/>
      </rPr>
      <t>耐高温屏蔽控制电缆</t>
    </r>
    <r>
      <rPr>
        <sz val="10"/>
        <rFont val="Times New Roman"/>
        <charset val="134"/>
      </rPr>
      <t xml:space="preserve"> ZR-KGGRP-500</t>
    </r>
  </si>
  <si>
    <t>7.2.39</t>
  </si>
  <si>
    <t>4X1.5</t>
  </si>
  <si>
    <t>7.2.40</t>
  </si>
  <si>
    <t>5X1.5</t>
  </si>
  <si>
    <t>7.2.41</t>
  </si>
  <si>
    <t>7X1.5</t>
  </si>
  <si>
    <t>7.2.42</t>
  </si>
  <si>
    <t>10X1.5</t>
  </si>
  <si>
    <t>7.2.43</t>
  </si>
  <si>
    <t>12X1.5</t>
  </si>
  <si>
    <t>7.2.44</t>
  </si>
  <si>
    <t>14X1.5</t>
  </si>
  <si>
    <t>7.2.45</t>
  </si>
  <si>
    <t>16X1.5</t>
  </si>
  <si>
    <t>7.2.46</t>
  </si>
  <si>
    <t>19X1.5</t>
  </si>
  <si>
    <t>7.2.47</t>
  </si>
  <si>
    <t>24X1.5</t>
  </si>
  <si>
    <t>7.2.48</t>
  </si>
  <si>
    <r>
      <rPr>
        <sz val="10"/>
        <rFont val="宋体"/>
        <charset val="134"/>
      </rPr>
      <t>控制电缆</t>
    </r>
    <r>
      <rPr>
        <sz val="10"/>
        <rFont val="Times New Roman"/>
        <charset val="134"/>
      </rPr>
      <t xml:space="preserve"> ZR-KVVR-500</t>
    </r>
  </si>
  <si>
    <t>7.2.49</t>
  </si>
  <si>
    <t>7.2.50</t>
  </si>
  <si>
    <t>7X2.5</t>
  </si>
  <si>
    <t>7.2.51</t>
  </si>
  <si>
    <t>10X2.5</t>
  </si>
  <si>
    <t>7.2.52</t>
  </si>
  <si>
    <t>7.2.53</t>
  </si>
  <si>
    <t>7.2.54</t>
  </si>
  <si>
    <t>7.2.55</t>
  </si>
  <si>
    <t>7.2.56</t>
  </si>
  <si>
    <t>7.2.57</t>
  </si>
  <si>
    <t>7.2.58</t>
  </si>
  <si>
    <t>7.2.59</t>
  </si>
  <si>
    <t>7.2.60</t>
  </si>
  <si>
    <r>
      <rPr>
        <sz val="10"/>
        <rFont val="宋体"/>
        <charset val="134"/>
      </rPr>
      <t>控制电缆</t>
    </r>
    <r>
      <rPr>
        <sz val="10"/>
        <rFont val="Times New Roman"/>
        <charset val="134"/>
      </rPr>
      <t xml:space="preserve"> ZR-KVVRP-500</t>
    </r>
  </si>
  <si>
    <t>7.2.61</t>
  </si>
  <si>
    <t>7.2.62</t>
  </si>
  <si>
    <t>7.2.63</t>
  </si>
  <si>
    <t>7.2.64</t>
  </si>
  <si>
    <t>7.2.65</t>
  </si>
  <si>
    <r>
      <rPr>
        <sz val="10"/>
        <rFont val="宋体"/>
        <charset val="134"/>
      </rPr>
      <t>导线</t>
    </r>
  </si>
  <si>
    <t>BVR-500 6mm2</t>
  </si>
  <si>
    <t>7.2.66</t>
  </si>
  <si>
    <r>
      <rPr>
        <sz val="10"/>
        <rFont val="宋体"/>
        <charset val="134"/>
      </rPr>
      <t>通讯电缆（电缆由总包方供货）</t>
    </r>
  </si>
  <si>
    <t>7.2.67</t>
  </si>
  <si>
    <r>
      <rPr>
        <sz val="10"/>
        <rFont val="宋体"/>
        <charset val="134"/>
      </rPr>
      <t>镀锌电缆桥架</t>
    </r>
  </si>
  <si>
    <t>电缆桥架及其配件供货运输、安装、防雷接地、补刷同材质涂料等全部工作内容</t>
  </si>
  <si>
    <t>7.2.68</t>
  </si>
  <si>
    <r>
      <rPr>
        <sz val="10"/>
        <rFont val="宋体"/>
        <charset val="134"/>
      </rPr>
      <t>桥架钢结构支架</t>
    </r>
  </si>
  <si>
    <t>钢结构除锈、制作、探伤、安装、运输、卸车、拼装、涂漆、接地等全部工作内容</t>
  </si>
  <si>
    <t>7.2.69</t>
  </si>
  <si>
    <t>管道（含管件、材料类阀门、支吊架、管托、管箍、加固筋、紧固件、法兰、垫片等）供货及安装等全部工作内容</t>
  </si>
  <si>
    <t>7.2.70</t>
  </si>
  <si>
    <r>
      <rPr>
        <sz val="10"/>
        <rFont val="Times New Roman"/>
        <charset val="134"/>
      </rPr>
      <t>PVC</t>
    </r>
    <r>
      <rPr>
        <sz val="10"/>
        <rFont val="宋体"/>
        <charset val="134"/>
      </rPr>
      <t>管</t>
    </r>
  </si>
  <si>
    <t>SG25</t>
  </si>
  <si>
    <t>主材</t>
  </si>
  <si>
    <t>7.2.71</t>
  </si>
  <si>
    <r>
      <rPr>
        <sz val="10"/>
        <rFont val="宋体"/>
        <charset val="134"/>
      </rPr>
      <t>金属软管（含接头）</t>
    </r>
  </si>
  <si>
    <t>DN20</t>
  </si>
  <si>
    <t>材料供货、量尺寸、断管、连接接头、钻眼、攻丝、固定等全部工作内容</t>
  </si>
  <si>
    <t>7.2.72</t>
  </si>
  <si>
    <t>7.2.73</t>
  </si>
  <si>
    <t>DN32</t>
  </si>
  <si>
    <t>7.2.74</t>
  </si>
  <si>
    <t>7.2.75</t>
  </si>
  <si>
    <t>7.2.76</t>
  </si>
  <si>
    <t>7.2.77</t>
  </si>
  <si>
    <t>主厂房照明灯具</t>
  </si>
  <si>
    <t>400W</t>
  </si>
  <si>
    <t>灯具及附件供货，灯具、灯杆、开关、整流器（断路器、触发器）安装调试等全部工作内容</t>
  </si>
  <si>
    <t>7.2.78</t>
  </si>
  <si>
    <t>投光灯</t>
  </si>
  <si>
    <t>70W</t>
  </si>
  <si>
    <t>7.2.79</t>
  </si>
  <si>
    <t>耐高温投光灯</t>
  </si>
  <si>
    <t>100W</t>
  </si>
  <si>
    <r>
      <rPr>
        <sz val="10"/>
        <rFont val="宋体"/>
        <charset val="134"/>
      </rPr>
      <t>电力设施</t>
    </r>
  </si>
  <si>
    <t>*8.1</t>
  </si>
  <si>
    <t>*8.1.1</t>
  </si>
  <si>
    <r>
      <rPr>
        <sz val="10"/>
        <rFont val="宋体"/>
        <charset val="134"/>
      </rPr>
      <t>除尘电机新增高压变频器</t>
    </r>
  </si>
  <si>
    <r>
      <rPr>
        <sz val="10"/>
        <rFont val="宋体"/>
        <charset val="134"/>
      </rPr>
      <t>变频电机</t>
    </r>
    <r>
      <rPr>
        <sz val="10"/>
        <rFont val="Times New Roman"/>
        <charset val="134"/>
      </rPr>
      <t xml:space="preserve">:1600kW 
</t>
    </r>
    <r>
      <rPr>
        <sz val="10"/>
        <rFont val="宋体"/>
        <charset val="134"/>
      </rPr>
      <t>高压变频器，手动旁路柜，含空水冷装置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台</t>
    </r>
  </si>
  <si>
    <t>8.2.1</t>
  </si>
  <si>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</t>
    </r>
  </si>
  <si>
    <t>ZR-YJV22-8.7/15 3X70</t>
  </si>
  <si>
    <t>揭(盖)盖板、电缆（发包人供货）敷设，线鼻子、防火堵洞、电缆防护、电缆防火隔板、电缆防火涂料、防火堵料供货安装等全部工作内容。</t>
  </si>
  <si>
    <t>8.2.2</t>
  </si>
  <si>
    <r>
      <rPr>
        <sz val="10"/>
        <rFont val="宋体"/>
        <charset val="134"/>
      </rPr>
      <t>控制电缆</t>
    </r>
  </si>
  <si>
    <t>ZR-KVVRP22-500    1(4X4)</t>
  </si>
  <si>
    <t>8.2.3</t>
  </si>
  <si>
    <t>ZR-KVVRP22-500    1(10X1.5)</t>
  </si>
  <si>
    <t>8.2.4</t>
  </si>
  <si>
    <t>ZR-KVVRP22-500    1(14X1.5)</t>
  </si>
  <si>
    <t>8.2.5</t>
  </si>
  <si>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电缆头</t>
    </r>
  </si>
  <si>
    <t>准备工作锯剥电缆、套绝缘、屏蔽、装接线盒、密封处理、防腐保护、整理固定、耐压试验、现场清理等全部工作内容</t>
  </si>
  <si>
    <t>8.2.6</t>
  </si>
  <si>
    <t>镀锌电缆桥架</t>
  </si>
  <si>
    <r>
      <rPr>
        <sz val="10"/>
        <rFont val="宋体"/>
        <charset val="134"/>
      </rPr>
      <t>仪表设施</t>
    </r>
  </si>
  <si>
    <t>*9.1</t>
  </si>
  <si>
    <t>*9.1.1</t>
  </si>
  <si>
    <r>
      <rPr>
        <sz val="10"/>
        <rFont val="宋体"/>
        <charset val="134"/>
      </rPr>
      <t>铁水测温仪</t>
    </r>
  </si>
  <si>
    <t>接货、开箱清点、场内运输、外观检查、基础型钢供货及制作安装、仪表单体调试、安装、校验（含首检）、校接线、仪表接头制作安装、测温取压取源部件制作安装、仪表管路连接件的供货及安装、仪表管路及阀门安装、仪表回路模拟试验、接地、配合单机试运转、配合工艺调试、现场检定等全部工作内容</t>
  </si>
  <si>
    <t>*9.1.2</t>
  </si>
  <si>
    <r>
      <rPr>
        <sz val="10"/>
        <rFont val="宋体"/>
        <charset val="134"/>
      </rPr>
      <t>电子称</t>
    </r>
  </si>
  <si>
    <t>*9.1.3</t>
  </si>
  <si>
    <r>
      <rPr>
        <sz val="10"/>
        <rFont val="宋体"/>
        <charset val="134"/>
      </rPr>
      <t>钢丝绳张力计</t>
    </r>
  </si>
  <si>
    <t>*9.1.4</t>
  </si>
  <si>
    <r>
      <rPr>
        <sz val="10"/>
        <rFont val="宋体"/>
        <charset val="134"/>
      </rPr>
      <t>热电阻</t>
    </r>
  </si>
  <si>
    <r>
      <rPr>
        <sz val="10"/>
        <rFont val="宋体"/>
        <charset val="134"/>
      </rPr>
      <t>支</t>
    </r>
  </si>
  <si>
    <t>*9.1.5</t>
  </si>
  <si>
    <r>
      <rPr>
        <sz val="10"/>
        <rFont val="宋体"/>
        <charset val="134"/>
      </rPr>
      <t>一体式流量计</t>
    </r>
  </si>
  <si>
    <t>*9.1.6</t>
  </si>
  <si>
    <r>
      <rPr>
        <sz val="10"/>
        <rFont val="宋体"/>
        <charset val="134"/>
      </rPr>
      <t>压力变送器</t>
    </r>
  </si>
  <si>
    <t>*9.1.7</t>
  </si>
  <si>
    <r>
      <rPr>
        <sz val="10"/>
        <rFont val="宋体"/>
        <charset val="134"/>
      </rPr>
      <t>压力表</t>
    </r>
  </si>
  <si>
    <t>*9.1.8</t>
  </si>
  <si>
    <r>
      <rPr>
        <sz val="10"/>
        <rFont val="宋体"/>
        <charset val="134"/>
      </rPr>
      <t>气动切断阀</t>
    </r>
  </si>
  <si>
    <t>*9.1.9</t>
  </si>
  <si>
    <r>
      <rPr>
        <sz val="10"/>
        <rFont val="宋体"/>
        <charset val="134"/>
      </rPr>
      <t>流量孔板</t>
    </r>
  </si>
  <si>
    <t>*9.1.10</t>
  </si>
  <si>
    <r>
      <rPr>
        <sz val="10"/>
        <rFont val="宋体"/>
        <charset val="134"/>
      </rPr>
      <t>差压变送器</t>
    </r>
  </si>
  <si>
    <t>*9.1.11</t>
  </si>
  <si>
    <r>
      <rPr>
        <sz val="10"/>
        <rFont val="宋体"/>
        <charset val="134"/>
      </rPr>
      <t>电磁流量计</t>
    </r>
  </si>
  <si>
    <t>*9.1.12</t>
  </si>
  <si>
    <r>
      <rPr>
        <sz val="10"/>
        <rFont val="Times New Roman"/>
        <charset val="134"/>
      </rPr>
      <t>PLC</t>
    </r>
    <r>
      <rPr>
        <sz val="10"/>
        <rFont val="宋体"/>
        <charset val="134"/>
      </rPr>
      <t>柜</t>
    </r>
  </si>
  <si>
    <r>
      <rPr>
        <sz val="10"/>
        <rFont val="宋体"/>
        <charset val="134"/>
      </rPr>
      <t>面</t>
    </r>
  </si>
  <si>
    <t>*9.1.13</t>
  </si>
  <si>
    <t>HMI</t>
  </si>
  <si>
    <t>*9.1.14</t>
  </si>
  <si>
    <t>*9.1.15</t>
  </si>
  <si>
    <t>UPS</t>
  </si>
  <si>
    <t>10KVA</t>
  </si>
  <si>
    <t>9.2.1</t>
  </si>
  <si>
    <r>
      <rPr>
        <sz val="10"/>
        <rFont val="宋体"/>
        <charset val="134"/>
      </rPr>
      <t>阻燃对绞总屏蔽计算机软电缆</t>
    </r>
  </si>
  <si>
    <t>ZR-DJYVPR 1x2x1.5</t>
  </si>
  <si>
    <t>9.2.2</t>
  </si>
  <si>
    <t>ZR-DJYVPR 2x2x1.0</t>
  </si>
  <si>
    <t>9.2.3</t>
  </si>
  <si>
    <r>
      <rPr>
        <sz val="10"/>
        <rFont val="宋体"/>
        <charset val="134"/>
      </rPr>
      <t>阻燃控制屏蔽软电缆</t>
    </r>
  </si>
  <si>
    <t>ZR-KVVPR 5X1.0</t>
  </si>
  <si>
    <t>9.2.4</t>
  </si>
  <si>
    <r>
      <rPr>
        <sz val="10"/>
        <rFont val="宋体"/>
        <charset val="134"/>
      </rPr>
      <t>阻燃控制软电缆</t>
    </r>
  </si>
  <si>
    <t>ZR-KVVR 2X1.5</t>
  </si>
  <si>
    <t>9.2.5</t>
  </si>
  <si>
    <t>9.2.6</t>
  </si>
  <si>
    <r>
      <rPr>
        <sz val="10"/>
        <rFont val="Times New Roman"/>
        <charset val="134"/>
      </rPr>
      <t>PROFIBUS</t>
    </r>
    <r>
      <rPr>
        <sz val="10"/>
        <rFont val="宋体"/>
        <charset val="134"/>
      </rPr>
      <t>电缆</t>
    </r>
  </si>
  <si>
    <t>6XV1851-4AU10</t>
  </si>
  <si>
    <t>9.2.7</t>
  </si>
  <si>
    <t>单模光纤（总包方供货）</t>
  </si>
  <si>
    <t>9.2.8</t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</si>
  <si>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类屏蔽网线（总包方供货）</t>
    </r>
  </si>
  <si>
    <t>9.2.9</t>
  </si>
  <si>
    <r>
      <rPr>
        <sz val="10"/>
        <rFont val="Times New Roman"/>
        <charset val="134"/>
      </rPr>
      <t>PN</t>
    </r>
    <r>
      <rPr>
        <sz val="10"/>
        <rFont val="宋体"/>
        <charset val="134"/>
      </rPr>
      <t>网线（总包方供货）</t>
    </r>
  </si>
  <si>
    <t>9.2.10</t>
  </si>
  <si>
    <r>
      <rPr>
        <sz val="10"/>
        <rFont val="Times New Roman"/>
        <charset val="134"/>
      </rPr>
      <t>DP</t>
    </r>
    <r>
      <rPr>
        <sz val="10"/>
        <rFont val="宋体"/>
        <charset val="134"/>
      </rPr>
      <t>线路（由总包方供货）</t>
    </r>
  </si>
  <si>
    <t>9.2.11</t>
  </si>
  <si>
    <t>9.2.12</t>
  </si>
  <si>
    <r>
      <rPr>
        <sz val="10"/>
        <rFont val="宋体"/>
        <charset val="134"/>
      </rPr>
      <t>无缝钢管</t>
    </r>
  </si>
  <si>
    <t>9.2.13</t>
  </si>
  <si>
    <r>
      <rPr>
        <sz val="10"/>
        <rFont val="宋体"/>
        <charset val="134"/>
      </rPr>
      <t>紫铜管</t>
    </r>
  </si>
  <si>
    <r>
      <rPr>
        <sz val="10"/>
        <rFont val="Times New Roman"/>
        <charset val="161"/>
      </rPr>
      <t>φ</t>
    </r>
    <r>
      <rPr>
        <sz val="10"/>
        <rFont val="Times New Roman"/>
        <charset val="134"/>
      </rPr>
      <t>8x1</t>
    </r>
  </si>
  <si>
    <t>9.2.14</t>
  </si>
  <si>
    <t>9.2.15</t>
  </si>
  <si>
    <t>钢结构</t>
  </si>
  <si>
    <r>
      <rPr>
        <sz val="10"/>
        <rFont val="宋体"/>
        <charset val="134"/>
      </rPr>
      <t>计算机系统</t>
    </r>
  </si>
  <si>
    <r>
      <rPr>
        <sz val="10"/>
        <rFont val="宋体"/>
        <charset val="134"/>
      </rPr>
      <t>二级计算机系统</t>
    </r>
  </si>
  <si>
    <t>*10.1.1</t>
  </si>
  <si>
    <t>*10.1.2</t>
  </si>
  <si>
    <r>
      <rPr>
        <sz val="10"/>
        <rFont val="宋体"/>
        <charset val="134"/>
      </rPr>
      <t>服务器</t>
    </r>
  </si>
  <si>
    <t>*10.1.3</t>
  </si>
  <si>
    <r>
      <rPr>
        <sz val="10"/>
        <rFont val="宋体"/>
        <charset val="134"/>
      </rPr>
      <t>工作站</t>
    </r>
  </si>
  <si>
    <t>*10.1.4</t>
  </si>
  <si>
    <r>
      <rPr>
        <sz val="10"/>
        <rFont val="宋体"/>
        <charset val="134"/>
      </rPr>
      <t>操作终端</t>
    </r>
  </si>
  <si>
    <t>台式机</t>
  </si>
  <si>
    <t>*10.1.5</t>
  </si>
  <si>
    <r>
      <rPr>
        <sz val="10"/>
        <rFont val="宋体"/>
        <charset val="134"/>
      </rPr>
      <t>服务器机柜</t>
    </r>
  </si>
  <si>
    <t>42U</t>
  </si>
  <si>
    <t>*10.1.6</t>
  </si>
  <si>
    <r>
      <rPr>
        <sz val="10"/>
        <rFont val="宋体"/>
        <charset val="134"/>
      </rPr>
      <t>交换机</t>
    </r>
  </si>
  <si>
    <t>*10.1.7</t>
  </si>
  <si>
    <t>*10.1.8</t>
  </si>
  <si>
    <t>*10.1.9</t>
  </si>
  <si>
    <r>
      <rPr>
        <sz val="10"/>
        <rFont val="宋体"/>
        <charset val="134"/>
      </rPr>
      <t>光纤配线架</t>
    </r>
  </si>
  <si>
    <t>机架式</t>
  </si>
  <si>
    <t>*10.1.10</t>
  </si>
  <si>
    <t>导轨式</t>
  </si>
  <si>
    <t>*10.1.11</t>
  </si>
  <si>
    <r>
      <rPr>
        <sz val="10"/>
        <rFont val="宋体"/>
        <charset val="134"/>
      </rPr>
      <t>辅材</t>
    </r>
  </si>
  <si>
    <r>
      <rPr>
        <sz val="10"/>
        <rFont val="宋体"/>
        <charset val="134"/>
      </rPr>
      <t>网线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米</t>
    </r>
    <r>
      <rPr>
        <sz val="10"/>
        <rFont val="Times New Roman"/>
        <charset val="134"/>
      </rPr>
      <t>*10</t>
    </r>
    <r>
      <rPr>
        <sz val="10"/>
        <rFont val="宋体"/>
        <charset val="134"/>
      </rPr>
      <t>根</t>
    </r>
    <r>
      <rPr>
        <sz val="10"/>
        <rFont val="Times New Roman"/>
        <charset val="134"/>
      </rPr>
      <t>,</t>
    </r>
    <r>
      <rPr>
        <sz val="10"/>
        <rFont val="宋体"/>
        <charset val="134"/>
      </rPr>
      <t>水晶头</t>
    </r>
    <r>
      <rPr>
        <sz val="10"/>
        <rFont val="Times New Roman"/>
        <charset val="134"/>
      </rPr>
      <t>50</t>
    </r>
    <r>
      <rPr>
        <sz val="10"/>
        <rFont val="宋体"/>
        <charset val="134"/>
      </rPr>
      <t>个</t>
    </r>
    <r>
      <rPr>
        <sz val="10"/>
        <rFont val="Times New Roman"/>
        <charset val="134"/>
      </rPr>
      <t>/</t>
    </r>
    <r>
      <rPr>
        <sz val="10"/>
        <rFont val="宋体"/>
        <charset val="134"/>
      </rPr>
      <t>盒</t>
    </r>
    <r>
      <rPr>
        <sz val="10"/>
        <rFont val="Times New Roman"/>
        <charset val="134"/>
      </rPr>
      <t>*1</t>
    </r>
  </si>
  <si>
    <t>10.2.1</t>
  </si>
  <si>
    <t>G25</t>
  </si>
  <si>
    <t>10.2.2</t>
  </si>
  <si>
    <r>
      <rPr>
        <sz val="10"/>
        <rFont val="Times New Roman"/>
        <charset val="134"/>
      </rPr>
      <t>PVC</t>
    </r>
    <r>
      <rPr>
        <sz val="10"/>
        <rFont val="宋体"/>
        <charset val="134"/>
      </rPr>
      <t>线槽</t>
    </r>
  </si>
  <si>
    <t>20X35</t>
  </si>
  <si>
    <t>10.2.3</t>
  </si>
  <si>
    <r>
      <rPr>
        <sz val="10"/>
        <rFont val="宋体"/>
        <charset val="134"/>
      </rPr>
      <t>动力电缆</t>
    </r>
  </si>
  <si>
    <t>ZR-YJV 3X4</t>
  </si>
  <si>
    <t>10.2.4</t>
  </si>
  <si>
    <t>网线（总包方供货）</t>
  </si>
  <si>
    <t>屏蔽双绞线</t>
  </si>
  <si>
    <t>10.2.5</t>
  </si>
  <si>
    <t>光纤（总包方供货）</t>
  </si>
  <si>
    <r>
      <rPr>
        <sz val="10"/>
        <rFont val="Times New Roman"/>
        <charset val="134"/>
      </rPr>
      <t>16</t>
    </r>
    <r>
      <rPr>
        <sz val="10"/>
        <rFont val="宋体"/>
        <charset val="134"/>
      </rPr>
      <t>芯</t>
    </r>
  </si>
  <si>
    <t>10.2.6</t>
  </si>
  <si>
    <t>光纤跳线（总包方供货）</t>
  </si>
  <si>
    <r>
      <rPr>
        <sz val="10"/>
        <rFont val="Times New Roman"/>
        <charset val="134"/>
      </rPr>
      <t>LC-ST</t>
    </r>
    <r>
      <rPr>
        <sz val="10"/>
        <rFont val="宋体"/>
        <charset val="134"/>
      </rPr>
      <t>单模双芯</t>
    </r>
  </si>
  <si>
    <r>
      <rPr>
        <sz val="10"/>
        <rFont val="宋体"/>
        <charset val="134"/>
      </rPr>
      <t>对</t>
    </r>
  </si>
  <si>
    <r>
      <rPr>
        <sz val="10"/>
        <rFont val="宋体"/>
        <charset val="134"/>
      </rPr>
      <t>自动扒渣系统</t>
    </r>
  </si>
  <si>
    <t>*11.1</t>
  </si>
  <si>
    <t>*11.1.1</t>
  </si>
  <si>
    <r>
      <rPr>
        <sz val="10"/>
        <rFont val="宋体"/>
        <charset val="134"/>
      </rPr>
      <t>渣面检测相机及防护罩</t>
    </r>
  </si>
  <si>
    <t>带镜头，连接电缆电缆和风冷防护罩及支架等</t>
  </si>
  <si>
    <t>*11.1.2</t>
  </si>
  <si>
    <r>
      <rPr>
        <sz val="10"/>
        <rFont val="宋体"/>
        <charset val="134"/>
      </rPr>
      <t>倾翻检测相机及防护罩</t>
    </r>
  </si>
  <si>
    <t>*11.1.3</t>
  </si>
  <si>
    <r>
      <rPr>
        <sz val="10"/>
        <rFont val="宋体"/>
        <charset val="134"/>
      </rPr>
      <t>渣盆检测相机及防护罩</t>
    </r>
  </si>
  <si>
    <t>*11.1.4</t>
  </si>
  <si>
    <r>
      <rPr>
        <sz val="10"/>
        <rFont val="宋体"/>
        <charset val="134"/>
      </rPr>
      <t>铁水液面计与保护罩</t>
    </r>
  </si>
  <si>
    <t>*11.1.5</t>
  </si>
  <si>
    <r>
      <rPr>
        <sz val="10"/>
        <rFont val="宋体"/>
        <charset val="134"/>
      </rPr>
      <t>相机风冷阀门箱</t>
    </r>
  </si>
  <si>
    <r>
      <rPr>
        <sz val="10"/>
        <rFont val="宋体"/>
        <charset val="134"/>
      </rPr>
      <t>含手动球阀、压力表、空气过滤器等</t>
    </r>
  </si>
  <si>
    <t>*11.1.6</t>
  </si>
  <si>
    <r>
      <rPr>
        <sz val="10"/>
        <rFont val="宋体"/>
        <charset val="134"/>
      </rPr>
      <t>配电和网络箱</t>
    </r>
  </si>
  <si>
    <t>*11.1.7</t>
  </si>
  <si>
    <r>
      <rPr>
        <sz val="10"/>
        <rFont val="宋体"/>
        <charset val="134"/>
      </rPr>
      <t>千兆光电转换器</t>
    </r>
  </si>
  <si>
    <t>*11.1.8</t>
  </si>
  <si>
    <r>
      <rPr>
        <sz val="10"/>
        <rFont val="宋体"/>
        <charset val="134"/>
      </rPr>
      <t>智能扒渣服务器</t>
    </r>
  </si>
  <si>
    <t>11.2.1</t>
  </si>
  <si>
    <r>
      <rPr>
        <sz val="10"/>
        <rFont val="宋体"/>
        <charset val="134"/>
      </rPr>
      <t>阻燃对绞屏蔽软电缆</t>
    </r>
  </si>
  <si>
    <t>ZC-DJYVPR 4x2x1.0</t>
  </si>
  <si>
    <t>11.2.2</t>
  </si>
  <si>
    <r>
      <rPr>
        <sz val="10"/>
        <rFont val="宋体"/>
        <charset val="134"/>
      </rPr>
      <t>阻燃耐高温动力软电缆</t>
    </r>
  </si>
  <si>
    <t>ZC-YGGR-0.6/1kV 2x2.5</t>
  </si>
  <si>
    <t>11.2.3</t>
  </si>
  <si>
    <t>光缆（总包方供货）</t>
  </si>
  <si>
    <t>11.2.4</t>
  </si>
  <si>
    <t>耐高温网线（总包方供货）</t>
  </si>
  <si>
    <t>11.2.5</t>
  </si>
  <si>
    <t>11.2.6</t>
  </si>
  <si>
    <t>11.2.7</t>
  </si>
  <si>
    <r>
      <rPr>
        <sz val="10"/>
        <rFont val="宋体"/>
        <charset val="134"/>
      </rPr>
      <t>耐高温隔热套管</t>
    </r>
  </si>
  <si>
    <r>
      <rPr>
        <sz val="10"/>
        <rFont val="宋体"/>
        <charset val="134"/>
      </rPr>
      <t>罐架识别系统</t>
    </r>
  </si>
  <si>
    <t>*12.1</t>
  </si>
  <si>
    <t>*12.1.1</t>
  </si>
  <si>
    <r>
      <rPr>
        <sz val="10"/>
        <rFont val="宋体"/>
        <charset val="134"/>
      </rPr>
      <t>系统工作站</t>
    </r>
  </si>
  <si>
    <t>*12.1.2</t>
  </si>
  <si>
    <r>
      <rPr>
        <sz val="10"/>
        <rFont val="宋体"/>
        <charset val="134"/>
      </rPr>
      <t>调试工作站</t>
    </r>
  </si>
  <si>
    <t>*12.1.3</t>
  </si>
  <si>
    <r>
      <rPr>
        <sz val="10"/>
        <rFont val="宋体"/>
        <charset val="134"/>
      </rPr>
      <t>二级组网交换机</t>
    </r>
  </si>
  <si>
    <t>*12.1.4</t>
  </si>
  <si>
    <r>
      <rPr>
        <sz val="10"/>
        <rFont val="宋体"/>
        <charset val="134"/>
      </rPr>
      <t>一级组网交换机</t>
    </r>
  </si>
  <si>
    <t>*12.1.5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</si>
  <si>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安装箱</t>
    </r>
  </si>
  <si>
    <t>400*300*600</t>
  </si>
  <si>
    <t>*12.1.6</t>
  </si>
  <si>
    <r>
      <rPr>
        <sz val="10"/>
        <rFont val="Times New Roman"/>
        <charset val="134"/>
      </rPr>
      <t>220</t>
    </r>
    <r>
      <rPr>
        <sz val="10"/>
        <rFont val="宋体"/>
        <charset val="134"/>
      </rPr>
      <t>转</t>
    </r>
    <r>
      <rPr>
        <sz val="10"/>
        <rFont val="Times New Roman"/>
        <charset val="134"/>
      </rPr>
      <t>24</t>
    </r>
    <r>
      <rPr>
        <sz val="10"/>
        <rFont val="宋体"/>
        <charset val="134"/>
      </rPr>
      <t>直流电源</t>
    </r>
  </si>
  <si>
    <r>
      <rPr>
        <sz val="10"/>
        <rFont val="Times New Roman"/>
        <charset val="134"/>
      </rPr>
      <t>24V/10A</t>
    </r>
    <r>
      <rPr>
        <sz val="10"/>
        <rFont val="宋体"/>
        <charset val="134"/>
      </rPr>
      <t>电源</t>
    </r>
  </si>
  <si>
    <t>*12.1.7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</si>
  <si>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识别装置</t>
    </r>
  </si>
  <si>
    <r>
      <rPr>
        <sz val="10"/>
        <rFont val="Times New Roman"/>
        <charset val="134"/>
      </rPr>
      <t>RF680R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RF650A</t>
    </r>
    <r>
      <rPr>
        <sz val="10"/>
        <rFont val="宋体"/>
        <charset val="134"/>
      </rPr>
      <t>、</t>
    </r>
    <r>
      <rPr>
        <sz val="10"/>
        <rFont val="Times New Roman"/>
        <charset val="134"/>
      </rPr>
      <t>RF660A</t>
    </r>
  </si>
  <si>
    <t>*12.1.8</t>
  </si>
  <si>
    <r>
      <rPr>
        <sz val="10"/>
        <rFont val="Times New Roman"/>
        <charset val="134"/>
      </rPr>
      <t>RFID</t>
    </r>
    <r>
      <rPr>
        <sz val="10"/>
        <rFont val="宋体"/>
        <charset val="134"/>
      </rPr>
      <t>天线立杆</t>
    </r>
  </si>
  <si>
    <r>
      <rPr>
        <sz val="10"/>
        <rFont val="Times New Roman"/>
        <charset val="134"/>
      </rPr>
      <t>2.5</t>
    </r>
    <r>
      <rPr>
        <sz val="10"/>
        <rFont val="宋体"/>
        <charset val="134"/>
      </rPr>
      <t>米监控立杆，平均口径</t>
    </r>
    <r>
      <rPr>
        <sz val="10"/>
        <rFont val="Times New Roman"/>
        <charset val="134"/>
      </rPr>
      <t>65mm</t>
    </r>
  </si>
  <si>
    <t>*12.1.9</t>
  </si>
  <si>
    <r>
      <rPr>
        <sz val="10"/>
        <rFont val="Times New Roman"/>
        <charset val="134"/>
      </rPr>
      <t>RF680</t>
    </r>
    <r>
      <rPr>
        <sz val="10"/>
        <rFont val="宋体"/>
        <charset val="134"/>
      </rPr>
      <t>高温标签</t>
    </r>
  </si>
  <si>
    <t>自制安装支架，将高温标签和保护罩固定在铁水罐上</t>
  </si>
  <si>
    <t>12.2.1</t>
  </si>
  <si>
    <t>12.2.2</t>
  </si>
  <si>
    <r>
      <rPr>
        <sz val="10"/>
        <rFont val="宋体"/>
        <charset val="134"/>
      </rPr>
      <t>镀锌金属波纹管</t>
    </r>
  </si>
  <si>
    <t>φ50</t>
  </si>
  <si>
    <t>12.2.3</t>
  </si>
  <si>
    <r>
      <rPr>
        <sz val="10"/>
        <rFont val="宋体"/>
        <charset val="134"/>
      </rPr>
      <t>铝合金板</t>
    </r>
  </si>
  <si>
    <r>
      <rPr>
        <sz val="10"/>
        <rFont val="宋体"/>
        <charset val="134"/>
      </rPr>
      <t>标准</t>
    </r>
    <r>
      <rPr>
        <sz val="10"/>
        <rFont val="Times New Roman"/>
        <charset val="134"/>
      </rPr>
      <t>4mm</t>
    </r>
    <r>
      <rPr>
        <sz val="10"/>
        <rFont val="宋体"/>
        <charset val="134"/>
      </rPr>
      <t>厚度表面阳极氧化或电泳处理</t>
    </r>
  </si>
  <si>
    <t>12.2.4</t>
  </si>
  <si>
    <r>
      <rPr>
        <sz val="10"/>
        <rFont val="Times New Roman"/>
        <charset val="134"/>
      </rPr>
      <t>4</t>
    </r>
    <r>
      <rPr>
        <sz val="10"/>
        <rFont val="宋体"/>
        <charset val="134"/>
      </rPr>
      <t>芯光缆（含端子盒）</t>
    </r>
  </si>
  <si>
    <t>gyta53-4b1</t>
  </si>
  <si>
    <t>12.2.5</t>
  </si>
  <si>
    <r>
      <rPr>
        <sz val="10"/>
        <rFont val="宋体"/>
        <charset val="134"/>
      </rPr>
      <t>铠装动力电缆</t>
    </r>
  </si>
  <si>
    <t>ZR-YJV22-0.6/1kV  1(3X2.5)</t>
  </si>
  <si>
    <t>12.2.6</t>
  </si>
  <si>
    <r>
      <rPr>
        <sz val="10"/>
        <rFont val="宋体"/>
        <charset val="134"/>
      </rPr>
      <t>控制线缆</t>
    </r>
  </si>
  <si>
    <t>KVVP ZR-KVVP 2×1.0</t>
  </si>
  <si>
    <r>
      <rPr>
        <sz val="10"/>
        <rFont val="宋体"/>
        <charset val="134"/>
      </rPr>
      <t>电讯设施</t>
    </r>
  </si>
  <si>
    <t>*13.1</t>
  </si>
  <si>
    <t>*13.1.1</t>
  </si>
  <si>
    <r>
      <rPr>
        <sz val="10"/>
        <rFont val="宋体"/>
        <charset val="134"/>
      </rPr>
      <t>电话系统</t>
    </r>
  </si>
  <si>
    <r>
      <rPr>
        <sz val="10"/>
        <rFont val="宋体"/>
        <charset val="134"/>
      </rPr>
      <t>接线箱</t>
    </r>
    <r>
      <rPr>
        <sz val="10"/>
        <rFont val="Times New Roman"/>
        <charset val="134"/>
      </rPr>
      <t>2</t>
    </r>
    <r>
      <rPr>
        <sz val="10"/>
        <rFont val="宋体"/>
        <charset val="134"/>
      </rPr>
      <t>套，电话机</t>
    </r>
    <r>
      <rPr>
        <sz val="10"/>
        <rFont val="Times New Roman"/>
        <charset val="134"/>
      </rPr>
      <t>4</t>
    </r>
    <r>
      <rPr>
        <sz val="10"/>
        <rFont val="宋体"/>
        <charset val="134"/>
      </rPr>
      <t>台</t>
    </r>
  </si>
  <si>
    <t>*13.1.2</t>
  </si>
  <si>
    <t>工业电视</t>
  </si>
  <si>
    <r>
      <rPr>
        <sz val="10"/>
        <rFont val="宋体"/>
        <charset val="134"/>
      </rPr>
      <t>摄像机</t>
    </r>
    <r>
      <rPr>
        <sz val="10"/>
        <rFont val="Times New Roman"/>
        <charset val="134"/>
      </rPr>
      <t>31</t>
    </r>
    <r>
      <rPr>
        <sz val="10"/>
        <rFont val="宋体"/>
        <charset val="134"/>
      </rPr>
      <t>套，监视器</t>
    </r>
    <r>
      <rPr>
        <sz val="10"/>
        <rFont val="Times New Roman"/>
        <charset val="134"/>
      </rPr>
      <t>9</t>
    </r>
    <r>
      <rPr>
        <sz val="10"/>
        <rFont val="宋体"/>
        <charset val="134"/>
      </rPr>
      <t>套，配套支架、存储器、解码器、机柜、工作站等</t>
    </r>
  </si>
  <si>
    <t>*13.1.3</t>
  </si>
  <si>
    <r>
      <rPr>
        <sz val="10"/>
        <rFont val="宋体"/>
        <charset val="134"/>
      </rPr>
      <t>对讲系统</t>
    </r>
  </si>
  <si>
    <r>
      <rPr>
        <sz val="10"/>
        <rFont val="宋体"/>
        <charset val="134"/>
      </rPr>
      <t>无线对讲</t>
    </r>
    <r>
      <rPr>
        <sz val="10"/>
        <rFont val="Times New Roman"/>
        <charset val="134"/>
      </rPr>
      <t>18</t>
    </r>
    <r>
      <rPr>
        <sz val="10"/>
        <rFont val="宋体"/>
        <charset val="134"/>
      </rPr>
      <t>套，对讲站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套，扬声器</t>
    </r>
    <r>
      <rPr>
        <sz val="10"/>
        <rFont val="Times New Roman"/>
        <charset val="134"/>
      </rPr>
      <t>1</t>
    </r>
    <r>
      <rPr>
        <sz val="10"/>
        <rFont val="宋体"/>
        <charset val="134"/>
      </rPr>
      <t>套</t>
    </r>
  </si>
  <si>
    <t>*13.1.4</t>
  </si>
  <si>
    <r>
      <rPr>
        <sz val="10"/>
        <rFont val="宋体"/>
        <charset val="134"/>
      </rPr>
      <t>火灾报警系统</t>
    </r>
  </si>
  <si>
    <r>
      <rPr>
        <sz val="10"/>
        <rFont val="宋体"/>
        <charset val="134"/>
      </rPr>
      <t>火焰、感烟及感温探测器</t>
    </r>
    <r>
      <rPr>
        <sz val="10"/>
        <rFont val="Times New Roman"/>
        <charset val="134"/>
      </rPr>
      <t>24</t>
    </r>
    <r>
      <rPr>
        <sz val="10"/>
        <rFont val="宋体"/>
        <charset val="134"/>
      </rPr>
      <t>套；壁挂广播</t>
    </r>
    <r>
      <rPr>
        <sz val="10"/>
        <rFont val="Times New Roman"/>
        <charset val="134"/>
      </rPr>
      <t>3</t>
    </r>
    <r>
      <rPr>
        <sz val="10"/>
        <rFont val="宋体"/>
        <charset val="134"/>
      </rPr>
      <t>套；配套接线箱模块等</t>
    </r>
  </si>
  <si>
    <t>接货、开箱检查，场内运输、外观检查、基础型钢供货及制作安装、本体安装、干燥、端子箱(汇控箱)安装、刷(喷)油漆、接地连接、防火堵洞、试验和调试、报验等全部工作内容</t>
  </si>
  <si>
    <t>13.2.1</t>
  </si>
  <si>
    <r>
      <rPr>
        <sz val="10"/>
        <rFont val="宋体"/>
        <charset val="134"/>
      </rPr>
      <t>大对数通讯电缆</t>
    </r>
  </si>
  <si>
    <t>HYA10*2*0.5</t>
  </si>
  <si>
    <t>13.2.2</t>
  </si>
  <si>
    <r>
      <rPr>
        <sz val="10"/>
        <rFont val="Times New Roman"/>
        <charset val="134"/>
      </rPr>
      <t>6</t>
    </r>
    <r>
      <rPr>
        <sz val="10"/>
        <rFont val="宋体"/>
        <charset val="134"/>
      </rPr>
      <t>类非屏蔽双绞线</t>
    </r>
  </si>
  <si>
    <t>UTP-CAT6</t>
  </si>
  <si>
    <t>13.2.3</t>
  </si>
  <si>
    <r>
      <rPr>
        <sz val="10"/>
        <rFont val="宋体"/>
        <charset val="134"/>
      </rPr>
      <t>单模光缆</t>
    </r>
  </si>
  <si>
    <r>
      <rPr>
        <sz val="10"/>
        <rFont val="Times New Roman"/>
        <charset val="134"/>
      </rPr>
      <t>GYXTW-4B 4</t>
    </r>
    <r>
      <rPr>
        <sz val="10"/>
        <rFont val="宋体"/>
        <charset val="134"/>
      </rPr>
      <t>芯</t>
    </r>
  </si>
  <si>
    <t>13.2.4</t>
  </si>
  <si>
    <r>
      <rPr>
        <sz val="10"/>
        <rFont val="Times New Roman"/>
        <charset val="134"/>
      </rPr>
      <t>GYXTW-12B 12</t>
    </r>
    <r>
      <rPr>
        <sz val="10"/>
        <rFont val="宋体"/>
        <charset val="134"/>
      </rPr>
      <t>芯</t>
    </r>
  </si>
  <si>
    <t>13.2.5</t>
  </si>
  <si>
    <r>
      <rPr>
        <sz val="10"/>
        <rFont val="宋体"/>
        <charset val="134"/>
      </rPr>
      <t>尾纤</t>
    </r>
  </si>
  <si>
    <r>
      <rPr>
        <sz val="10"/>
        <rFont val="宋体"/>
        <charset val="134"/>
      </rPr>
      <t>单模，</t>
    </r>
    <r>
      <rPr>
        <sz val="10"/>
        <rFont val="Times New Roman"/>
        <charset val="134"/>
      </rPr>
      <t>FC/PC</t>
    </r>
  </si>
  <si>
    <r>
      <rPr>
        <sz val="10"/>
        <rFont val="宋体"/>
        <charset val="134"/>
      </rPr>
      <t>根</t>
    </r>
  </si>
  <si>
    <t>13.2.6</t>
  </si>
  <si>
    <r>
      <rPr>
        <sz val="10"/>
        <rFont val="宋体"/>
        <charset val="134"/>
      </rPr>
      <t>光纤跳线</t>
    </r>
  </si>
  <si>
    <r>
      <rPr>
        <sz val="10"/>
        <rFont val="宋体"/>
        <charset val="134"/>
      </rPr>
      <t>单模，</t>
    </r>
    <r>
      <rPr>
        <sz val="10"/>
        <rFont val="Times New Roman"/>
        <charset val="134"/>
      </rPr>
      <t>FC/LC</t>
    </r>
    <r>
      <rPr>
        <sz val="10"/>
        <rFont val="宋体"/>
        <charset val="134"/>
      </rPr>
      <t>，</t>
    </r>
    <r>
      <rPr>
        <sz val="10"/>
        <rFont val="Times New Roman"/>
        <charset val="134"/>
      </rPr>
      <t>2m</t>
    </r>
  </si>
  <si>
    <t>13.2.7</t>
  </si>
  <si>
    <r>
      <rPr>
        <sz val="10"/>
        <rFont val="宋体"/>
        <charset val="134"/>
      </rPr>
      <t>电缆</t>
    </r>
  </si>
  <si>
    <t>YJV3x1.5mm</t>
  </si>
  <si>
    <t>13.2.8</t>
  </si>
  <si>
    <r>
      <rPr>
        <sz val="10"/>
        <rFont val="宋体"/>
        <charset val="134"/>
      </rPr>
      <t>广播线</t>
    </r>
  </si>
  <si>
    <t>NH-RVSP2*2.5</t>
  </si>
  <si>
    <t>13.2.9</t>
  </si>
  <si>
    <t>13.2.10</t>
  </si>
  <si>
    <t>YJV3x2.5mm</t>
  </si>
  <si>
    <t>13.2.11</t>
  </si>
  <si>
    <r>
      <rPr>
        <sz val="10"/>
        <rFont val="宋体"/>
        <charset val="134"/>
      </rPr>
      <t>耐火阻燃电缆</t>
    </r>
  </si>
  <si>
    <t>NH-RVVS2X1.5mm2</t>
  </si>
  <si>
    <t>13.2.12</t>
  </si>
  <si>
    <t>NH-RVV2X2.0mm2</t>
  </si>
  <si>
    <t>13.2.13</t>
  </si>
  <si>
    <t>NH-RVS2X1.5mm2</t>
  </si>
  <si>
    <t>13.2.14</t>
  </si>
  <si>
    <r>
      <rPr>
        <sz val="10"/>
        <rFont val="宋体"/>
        <charset val="134"/>
      </rPr>
      <t>总图设施</t>
    </r>
  </si>
  <si>
    <t>*14.1</t>
  </si>
  <si>
    <r>
      <rPr>
        <sz val="10"/>
        <rFont val="宋体"/>
        <charset val="134"/>
      </rPr>
      <t>铁水称（轨道衡）</t>
    </r>
  </si>
  <si>
    <r>
      <rPr>
        <sz val="10"/>
        <rFont val="Times New Roman"/>
        <charset val="134"/>
      </rPr>
      <t>400t</t>
    </r>
    <r>
      <rPr>
        <sz val="10"/>
        <rFont val="宋体"/>
        <charset val="134"/>
      </rPr>
      <t>双向称量不断轨的全电子动态轨道衡</t>
    </r>
  </si>
  <si>
    <t>14.2.1</t>
  </si>
  <si>
    <r>
      <rPr>
        <sz val="10"/>
        <rFont val="宋体"/>
        <charset val="134"/>
      </rPr>
      <t>新建钢筋混凝土排水沟</t>
    </r>
  </si>
  <si>
    <t>14.2.2</t>
  </si>
  <si>
    <r>
      <rPr>
        <sz val="10"/>
        <rFont val="宋体"/>
        <charset val="134"/>
      </rPr>
      <t>钢筋混凝土盖板</t>
    </r>
  </si>
  <si>
    <r>
      <rPr>
        <sz val="10"/>
        <rFont val="宋体"/>
        <charset val="134"/>
      </rPr>
      <t>钢筋混凝土盖板，长</t>
    </r>
    <r>
      <rPr>
        <sz val="10"/>
        <rFont val="Times New Roman"/>
        <charset val="134"/>
      </rPr>
      <t>580mm</t>
    </r>
    <r>
      <rPr>
        <sz val="10"/>
        <rFont val="宋体"/>
        <charset val="134"/>
      </rPr>
      <t>，宽</t>
    </r>
    <r>
      <rPr>
        <sz val="10"/>
        <rFont val="Times New Roman"/>
        <charset val="134"/>
      </rPr>
      <t>490mm</t>
    </r>
    <r>
      <rPr>
        <sz val="10"/>
        <rFont val="宋体"/>
        <charset val="134"/>
      </rPr>
      <t>，厚</t>
    </r>
    <r>
      <rPr>
        <sz val="10"/>
        <rFont val="Times New Roman"/>
        <charset val="134"/>
      </rPr>
      <t>150mm</t>
    </r>
  </si>
  <si>
    <r>
      <rPr>
        <sz val="10"/>
        <rFont val="宋体"/>
        <charset val="134"/>
      </rPr>
      <t>块</t>
    </r>
  </si>
  <si>
    <t>14.2.3</t>
  </si>
  <si>
    <r>
      <rPr>
        <sz val="10"/>
        <rFont val="宋体"/>
        <charset val="134"/>
      </rPr>
      <t>车挡</t>
    </r>
  </si>
  <si>
    <r>
      <rPr>
        <sz val="10"/>
        <rFont val="宋体"/>
        <charset val="134"/>
      </rPr>
      <t>钢筋混凝土弹簧车档</t>
    </r>
  </si>
  <si>
    <t>材料供货、制作、安装等满足施工图纸及规范要求的全部工作内容</t>
  </si>
  <si>
    <t>14.2.4</t>
  </si>
  <si>
    <t>14.2.5</t>
  </si>
  <si>
    <r>
      <rPr>
        <sz val="10"/>
        <rFont val="宋体"/>
        <charset val="134"/>
      </rPr>
      <t>新建道路</t>
    </r>
  </si>
  <si>
    <r>
      <rPr>
        <sz val="10"/>
        <rFont val="宋体"/>
        <charset val="134"/>
      </rPr>
      <t>城市型，混凝土面层厚</t>
    </r>
    <r>
      <rPr>
        <sz val="10"/>
        <rFont val="Times New Roman"/>
        <charset val="134"/>
      </rPr>
      <t>23cm</t>
    </r>
    <r>
      <rPr>
        <sz val="10"/>
        <rFont val="宋体"/>
        <charset val="134"/>
      </rPr>
      <t>，水泥稳定碎石基层厚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，级配碎石基层厚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，天然砂砾垫层</t>
    </r>
    <r>
      <rPr>
        <sz val="10"/>
        <rFont val="Times New Roman"/>
        <charset val="134"/>
      </rPr>
      <t>15cm</t>
    </r>
    <r>
      <rPr>
        <sz val="10"/>
        <rFont val="宋体"/>
        <charset val="134"/>
      </rPr>
      <t>。</t>
    </r>
  </si>
  <si>
    <t>降水、排水、土石方(含特殊爆破)挖运填、平整、滚压，基层铺筑、模板安拆堆放、砼浇捣养护、面层压光、伸缩缝、埋管、路缘（平）石铺砌等全部工作内容</t>
  </si>
  <si>
    <t>14.2.6</t>
  </si>
  <si>
    <r>
      <rPr>
        <sz val="10"/>
        <rFont val="宋体"/>
        <charset val="134"/>
      </rPr>
      <t>土方回填</t>
    </r>
  </si>
  <si>
    <t>贵  14-15</t>
  </si>
  <si>
    <t>14.2.7</t>
  </si>
  <si>
    <r>
      <rPr>
        <sz val="10"/>
        <rFont val="宋体"/>
        <charset val="134"/>
      </rPr>
      <t>树木移栽</t>
    </r>
  </si>
  <si>
    <r>
      <rPr>
        <sz val="10"/>
        <rFont val="宋体"/>
        <charset val="134"/>
      </rPr>
      <t>胸径</t>
    </r>
    <r>
      <rPr>
        <sz val="10"/>
        <rFont val="Times New Roman"/>
        <charset val="134"/>
      </rPr>
      <t>20cm</t>
    </r>
  </si>
  <si>
    <r>
      <rPr>
        <sz val="10"/>
        <rFont val="宋体"/>
        <charset val="134"/>
      </rPr>
      <t>棵</t>
    </r>
  </si>
  <si>
    <t>前期准备、起挖处理、运输装卸、栽植施工、支撑固定、养护、现场清理等全部工作内容</t>
  </si>
  <si>
    <t>14.2.8</t>
  </si>
  <si>
    <t>铁路路基碎石换填</t>
  </si>
  <si>
    <t>14.2.9</t>
  </si>
  <si>
    <r>
      <rPr>
        <sz val="10"/>
        <rFont val="宋体"/>
        <charset val="134"/>
      </rPr>
      <t>铁路土路基压实</t>
    </r>
  </si>
  <si>
    <t>清理路基基底杂物、挖填运土石方、平整场地，分层铺筑、机械压实、打夯、质量检测、修整完善等全部工作内容</t>
  </si>
  <si>
    <t>贵  9块</t>
  </si>
  <si>
    <r>
      <rPr>
        <sz val="10"/>
        <rFont val="宋体"/>
        <charset val="134"/>
      </rPr>
      <t>拆除</t>
    </r>
  </si>
  <si>
    <r>
      <rPr>
        <sz val="10"/>
        <rFont val="宋体"/>
        <charset val="134"/>
      </rPr>
      <t>拆除厂房柱基础</t>
    </r>
  </si>
  <si>
    <t>钢筋混凝土；一般性拆除</t>
  </si>
  <si>
    <t>控制扬尘、拆除、切割、清理、运输至指定位置等全部工作内容</t>
  </si>
  <si>
    <r>
      <rPr>
        <sz val="10"/>
        <rFont val="宋体"/>
        <charset val="134"/>
      </rPr>
      <t>拆除厂房钢结构</t>
    </r>
  </si>
  <si>
    <t>一般性拆除</t>
  </si>
  <si>
    <r>
      <rPr>
        <sz val="10"/>
        <rFont val="宋体"/>
        <charset val="134"/>
      </rPr>
      <t>屋面彩钢板拆除</t>
    </r>
  </si>
  <si>
    <r>
      <rPr>
        <sz val="10"/>
        <rFont val="宋体"/>
        <charset val="134"/>
      </rPr>
      <t>墙面彩钢板拆除</t>
    </r>
  </si>
  <si>
    <r>
      <rPr>
        <sz val="10"/>
        <rFont val="宋体"/>
        <charset val="134"/>
      </rPr>
      <t>拆除两套脱硫设施钢平台</t>
    </r>
  </si>
  <si>
    <r>
      <rPr>
        <sz val="10"/>
        <rFont val="宋体"/>
        <charset val="134"/>
      </rPr>
      <t>拆除排水沟</t>
    </r>
  </si>
  <si>
    <r>
      <rPr>
        <sz val="10"/>
        <rFont val="宋体"/>
        <charset val="134"/>
      </rPr>
      <t>拆除铁水罐坑</t>
    </r>
  </si>
  <si>
    <r>
      <rPr>
        <sz val="10"/>
        <rFont val="宋体"/>
        <charset val="134"/>
      </rPr>
      <t>拆除管道支架基础</t>
    </r>
  </si>
  <si>
    <r>
      <rPr>
        <sz val="10"/>
        <rFont val="宋体"/>
        <charset val="134"/>
      </rPr>
      <t>拆除烟囱基础</t>
    </r>
  </si>
  <si>
    <r>
      <rPr>
        <sz val="10"/>
        <rFont val="宋体"/>
        <charset val="134"/>
      </rPr>
      <t>拆除烟囱本体钢结构</t>
    </r>
  </si>
  <si>
    <r>
      <rPr>
        <sz val="10"/>
        <rFont val="宋体"/>
        <charset val="134"/>
      </rPr>
      <t>拆除管道钢结构支架</t>
    </r>
  </si>
  <si>
    <r>
      <rPr>
        <sz val="10"/>
        <rFont val="宋体"/>
        <charset val="134"/>
      </rPr>
      <t>拆除脱硫站钢平台</t>
    </r>
  </si>
  <si>
    <r>
      <rPr>
        <sz val="10"/>
        <rFont val="宋体"/>
        <charset val="134"/>
      </rPr>
      <t>拆除一层电气室</t>
    </r>
  </si>
  <si>
    <t>框架结构；一般性拆除</t>
  </si>
  <si>
    <r>
      <rPr>
        <sz val="10"/>
        <rFont val="宋体"/>
        <charset val="134"/>
      </rPr>
      <t>拆除电缆隧道通风小房</t>
    </r>
  </si>
  <si>
    <r>
      <rPr>
        <sz val="10"/>
        <rFont val="宋体"/>
        <charset val="134"/>
      </rPr>
      <t>拆除液压站</t>
    </r>
  </si>
  <si>
    <r>
      <rPr>
        <sz val="10"/>
        <rFont val="宋体"/>
        <charset val="134"/>
      </rPr>
      <t>拆除</t>
    </r>
    <r>
      <rPr>
        <sz val="10"/>
        <rFont val="Times New Roman"/>
        <charset val="134"/>
      </rPr>
      <t>MCC</t>
    </r>
    <r>
      <rPr>
        <sz val="10"/>
        <rFont val="宋体"/>
        <charset val="134"/>
      </rPr>
      <t>电气室</t>
    </r>
  </si>
  <si>
    <r>
      <rPr>
        <sz val="10"/>
        <rFont val="宋体"/>
        <charset val="134"/>
      </rPr>
      <t>拆除操作室、</t>
    </r>
    <r>
      <rPr>
        <sz val="10"/>
        <rFont val="Times New Roman"/>
        <charset val="134"/>
      </rPr>
      <t>PLC</t>
    </r>
    <r>
      <rPr>
        <sz val="10"/>
        <rFont val="宋体"/>
        <charset val="134"/>
      </rPr>
      <t>室</t>
    </r>
  </si>
  <si>
    <t>轻钢结构；一般性拆除</t>
  </si>
  <si>
    <r>
      <rPr>
        <sz val="10"/>
        <rFont val="宋体"/>
        <charset val="134"/>
      </rPr>
      <t>拆除悬臂吊</t>
    </r>
  </si>
  <si>
    <r>
      <rPr>
        <sz val="10"/>
        <rFont val="宋体"/>
        <charset val="134"/>
      </rPr>
      <t>拆除喷吹脱硫站加料系统设备、管道</t>
    </r>
  </si>
  <si>
    <r>
      <rPr>
        <sz val="10"/>
        <rFont val="宋体"/>
        <charset val="134"/>
      </rPr>
      <t>拆除布袋除尘设施</t>
    </r>
    <r>
      <rPr>
        <sz val="10"/>
        <rFont val="Times New Roman"/>
        <charset val="134"/>
      </rPr>
      <t xml:space="preserve"> 20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</t>
    </r>
  </si>
  <si>
    <r>
      <rPr>
        <sz val="10"/>
        <rFont val="宋体"/>
        <charset val="134"/>
      </rPr>
      <t>拆除离心通风机风量</t>
    </r>
    <r>
      <rPr>
        <sz val="10"/>
        <rFont val="Times New Roman"/>
        <charset val="134"/>
      </rPr>
      <t>85</t>
    </r>
    <r>
      <rPr>
        <sz val="10"/>
        <rFont val="宋体"/>
        <charset val="134"/>
      </rPr>
      <t>万</t>
    </r>
    <r>
      <rPr>
        <sz val="10"/>
        <rFont val="Times New Roman"/>
        <charset val="134"/>
      </rPr>
      <t>m3/h</t>
    </r>
    <r>
      <rPr>
        <sz val="10"/>
        <rFont val="宋体"/>
        <charset val="134"/>
      </rPr>
      <t>（含电机）</t>
    </r>
  </si>
  <si>
    <r>
      <rPr>
        <sz val="10"/>
        <rFont val="宋体"/>
        <charset val="134"/>
      </rPr>
      <t>拆除原精炼除尘高压变频器</t>
    </r>
  </si>
  <si>
    <r>
      <rPr>
        <sz val="10"/>
        <rFont val="宋体"/>
        <charset val="134"/>
      </rPr>
      <t>拆除</t>
    </r>
    <r>
      <rPr>
        <sz val="10"/>
        <rFont val="Times New Roman"/>
        <charset val="134"/>
      </rPr>
      <t>10kV</t>
    </r>
    <r>
      <rPr>
        <sz val="10"/>
        <rFont val="宋体"/>
        <charset val="134"/>
      </rPr>
      <t>电缆</t>
    </r>
  </si>
  <si>
    <r>
      <rPr>
        <sz val="10"/>
        <rFont val="Times New Roman"/>
        <charset val="134"/>
      </rPr>
      <t>3X70</t>
    </r>
    <r>
      <rPr>
        <sz val="10"/>
        <rFont val="宋体"/>
        <charset val="134"/>
      </rPr>
      <t>；一般性拆除</t>
    </r>
  </si>
  <si>
    <r>
      <rPr>
        <sz val="10"/>
        <rFont val="宋体"/>
        <charset val="134"/>
      </rPr>
      <t>拆除道路</t>
    </r>
  </si>
  <si>
    <r>
      <rPr>
        <sz val="10"/>
        <rFont val="宋体"/>
        <charset val="134"/>
      </rPr>
      <t>混凝土面层厚</t>
    </r>
    <r>
      <rPr>
        <sz val="10"/>
        <rFont val="Times New Roman"/>
        <charset val="134"/>
      </rPr>
      <t>23cm</t>
    </r>
    <r>
      <rPr>
        <sz val="10"/>
        <rFont val="宋体"/>
        <charset val="134"/>
      </rPr>
      <t>，水泥稳定碎石基层厚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，级配碎石基层厚</t>
    </r>
    <r>
      <rPr>
        <sz val="10"/>
        <rFont val="Times New Roman"/>
        <charset val="134"/>
      </rPr>
      <t>20cm</t>
    </r>
    <r>
      <rPr>
        <sz val="10"/>
        <rFont val="宋体"/>
        <charset val="134"/>
      </rPr>
      <t>，天然砂砾垫层</t>
    </r>
    <r>
      <rPr>
        <sz val="10"/>
        <rFont val="Times New Roman"/>
        <charset val="134"/>
      </rPr>
      <t>15cm</t>
    </r>
    <r>
      <rPr>
        <sz val="10"/>
        <rFont val="宋体"/>
        <charset val="134"/>
      </rPr>
      <t>。一般性拆除</t>
    </r>
  </si>
  <si>
    <r>
      <rPr>
        <sz val="10"/>
        <rFont val="宋体"/>
        <charset val="134"/>
      </rPr>
      <t>保护性拆除轨道衡</t>
    </r>
  </si>
  <si>
    <r>
      <rPr>
        <sz val="10"/>
        <rFont val="Times New Roman"/>
        <charset val="134"/>
      </rPr>
      <t>400t</t>
    </r>
    <r>
      <rPr>
        <sz val="10"/>
        <rFont val="宋体"/>
        <charset val="134"/>
      </rPr>
      <t>电子动态轨道衡</t>
    </r>
  </si>
  <si>
    <r>
      <rPr>
        <sz val="10"/>
        <rFont val="宋体"/>
        <charset val="134"/>
      </rPr>
      <t>保护性拆除铁路</t>
    </r>
  </si>
  <si>
    <r>
      <rPr>
        <sz val="10"/>
        <rFont val="宋体"/>
        <charset val="134"/>
      </rPr>
      <t>冶</t>
    </r>
    <r>
      <rPr>
        <sz val="10"/>
        <rFont val="Times New Roman"/>
        <charset val="134"/>
      </rPr>
      <t>IA</t>
    </r>
    <r>
      <rPr>
        <sz val="10"/>
        <rFont val="宋体"/>
        <charset val="134"/>
      </rPr>
      <t>级，</t>
    </r>
    <r>
      <rPr>
        <sz val="10"/>
        <rFont val="Times New Roman"/>
        <charset val="134"/>
      </rPr>
      <t>60kg/m</t>
    </r>
    <r>
      <rPr>
        <sz val="10"/>
        <rFont val="宋体"/>
        <charset val="134"/>
      </rPr>
      <t>钢轨，钢筋混凝土枕</t>
    </r>
    <r>
      <rPr>
        <sz val="10"/>
        <rFont val="Times New Roman"/>
        <charset val="134"/>
      </rPr>
      <t>1840</t>
    </r>
    <r>
      <rPr>
        <sz val="10"/>
        <rFont val="宋体"/>
        <charset val="134"/>
      </rPr>
      <t>根</t>
    </r>
    <r>
      <rPr>
        <sz val="10"/>
        <rFont val="Times New Roman"/>
        <charset val="134"/>
      </rPr>
      <t>/km</t>
    </r>
  </si>
  <si>
    <r>
      <rPr>
        <sz val="10"/>
        <rFont val="宋体"/>
        <charset val="134"/>
      </rPr>
      <t>保护性拆除道岔</t>
    </r>
  </si>
  <si>
    <r>
      <rPr>
        <sz val="10"/>
        <rFont val="Times New Roman"/>
        <charset val="134"/>
      </rPr>
      <t>60Kg/m</t>
    </r>
    <r>
      <rPr>
        <sz val="10"/>
        <rFont val="宋体"/>
        <charset val="134"/>
      </rPr>
      <t>钢轨，</t>
    </r>
    <r>
      <rPr>
        <sz val="10"/>
        <rFont val="Times New Roman"/>
        <charset val="134"/>
      </rPr>
      <t>1/7</t>
    </r>
    <r>
      <rPr>
        <sz val="10"/>
        <rFont val="宋体"/>
        <charset val="134"/>
      </rPr>
      <t>单开道岔，</t>
    </r>
    <r>
      <rPr>
        <sz val="10"/>
        <rFont val="Times New Roman"/>
        <charset val="134"/>
      </rPr>
      <t>AT</t>
    </r>
    <r>
      <rPr>
        <sz val="10"/>
        <rFont val="宋体"/>
        <charset val="134"/>
      </rPr>
      <t>尖轨道岔，配套混凝土岔枕</t>
    </r>
  </si>
  <si>
    <r>
      <rPr>
        <sz val="10"/>
        <rFont val="宋体"/>
        <charset val="134"/>
      </rPr>
      <t>付</t>
    </r>
  </si>
  <si>
    <t>拆除电缆桥架</t>
  </si>
  <si>
    <t>拆除镀锌钢管</t>
  </si>
  <si>
    <t>拆除电缆</t>
  </si>
  <si>
    <t>拆除铁运线原脱硫平台下混凝土</t>
  </si>
  <si>
    <t>破除铁运线原脱硫平台下铁轨</t>
  </si>
  <si>
    <t>拆除钢筋混凝土地坪</t>
  </si>
  <si>
    <t>拆除除液压站砖砌房</t>
  </si>
  <si>
    <t>约8米宽，约20米长，高度约4米，墙厚约200mm。一般性拆除</t>
  </si>
  <si>
    <t>拆除除尘管道</t>
  </si>
  <si>
    <t>碳钢管道，一般性拆除</t>
  </si>
  <si>
    <t>拆除顶枪修复平台及楼梯、喷枪等</t>
  </si>
  <si>
    <t>拆除厂房两处门洞</t>
  </si>
  <si>
    <t>新建铁轨需要拆除厂房山墙8*10米，至精炼炉公路需要拆除5*6米门洞，涉及110平米彩瓦拆除，门洞钢构拆除，门洞加固等。一般性拆除</t>
  </si>
  <si>
    <t>项</t>
  </si>
  <si>
    <t>拆除倒罐站钢平台拆除</t>
  </si>
  <si>
    <t>拆除除尘管道及除尘罩</t>
  </si>
  <si>
    <t>拆除二层电气室房子</t>
  </si>
  <si>
    <t>框架结构，一般性拆除</t>
  </si>
  <si>
    <t>拆除倒罐站厂房四周蒸汽管道</t>
  </si>
  <si>
    <t>拆除倒罐站厂房与主跨厂房墙面</t>
  </si>
  <si>
    <t>拆除钢结构走道及栏杆等</t>
  </si>
  <si>
    <t>拆除0.6mm厚墙皮</t>
  </si>
  <si>
    <t>拆除雾炮机介质管道</t>
  </si>
  <si>
    <t>拆除旧除尘器基础</t>
  </si>
  <si>
    <t>拆除路边电缆桥架支架</t>
  </si>
  <si>
    <t>保护性拆除红绿灯</t>
  </si>
  <si>
    <t>拆除电缆沟基础</t>
  </si>
  <si>
    <t>拆除厂外部火车道旧除尘旁边地坪破除</t>
  </si>
  <si>
    <t>素砼地坪，一般性拆除</t>
  </si>
  <si>
    <t>保护性拆除行车</t>
  </si>
  <si>
    <t>拆除除尘管道支架拆除</t>
  </si>
  <si>
    <t>拆除渣场管廊进出口房子</t>
  </si>
  <si>
    <t>拆除新渣罐车轨道基础区域地面</t>
  </si>
  <si>
    <t>钢筋混凝土，一般性拆除</t>
  </si>
  <si>
    <t>电缆井电缆改造</t>
  </si>
  <si>
    <t>渣跨架空部分(约6m)电缆需改由埋地，涉及地面敷设、电缆沟施工、4根35KV电缆敷设</t>
  </si>
  <si>
    <t>保护性拆除铁水秤</t>
  </si>
  <si>
    <t>400t动态铁水秤</t>
  </si>
  <si>
    <t>测量</t>
  </si>
  <si>
    <t>除尘管道及支架；介质管道；铁路、道路、渣罐车路径等</t>
  </si>
  <si>
    <t>规格、长度、标高、定位等全部工作内容</t>
  </si>
  <si>
    <t>表3 工程量清单偏差报价表</t>
  </si>
  <si>
    <t>表3  工程量清单偏差报价表（分标段）</t>
  </si>
  <si>
    <t>序号</t>
  </si>
  <si>
    <t>规格型号</t>
  </si>
  <si>
    <t>单位</t>
  </si>
  <si>
    <t>重量(t)</t>
  </si>
  <si>
    <t>合价（元）</t>
  </si>
  <si>
    <r>
      <rPr>
        <b/>
        <sz val="10"/>
        <color indexed="8"/>
        <rFont val="宋体"/>
        <charset val="134"/>
      </rPr>
      <t>主材损耗率</t>
    </r>
    <r>
      <rPr>
        <b/>
        <sz val="10"/>
        <color indexed="8"/>
        <rFont val="Times New Roman"/>
        <charset val="134"/>
      </rPr>
      <t>%</t>
    </r>
  </si>
  <si>
    <t>单重</t>
  </si>
  <si>
    <t>总 重</t>
  </si>
  <si>
    <r>
      <rPr>
        <b/>
        <sz val="10"/>
        <color indexed="8"/>
        <rFont val="宋体"/>
        <charset val="134"/>
      </rPr>
      <t>综合单价</t>
    </r>
    <r>
      <rPr>
        <b/>
        <sz val="10"/>
        <color indexed="8"/>
        <rFont val="Times New Roman"/>
        <charset val="134"/>
      </rPr>
      <t>(</t>
    </r>
    <r>
      <rPr>
        <b/>
        <sz val="10"/>
        <color indexed="8"/>
        <rFont val="宋体"/>
        <charset val="134"/>
      </rPr>
      <t>元</t>
    </r>
    <r>
      <rPr>
        <b/>
        <sz val="10"/>
        <color indexed="8"/>
        <rFont val="Times New Roman"/>
        <charset val="134"/>
      </rPr>
      <t>)</t>
    </r>
  </si>
  <si>
    <t>其中：主材单价</t>
  </si>
  <si>
    <r>
      <rPr>
        <b/>
        <sz val="10"/>
        <color indexed="8"/>
        <rFont val="宋体"/>
        <charset val="134"/>
      </rPr>
      <t>合价</t>
    </r>
    <r>
      <rPr>
        <b/>
        <sz val="10"/>
        <color indexed="8"/>
        <rFont val="Times New Roman"/>
        <charset val="134"/>
      </rPr>
      <t>(</t>
    </r>
    <r>
      <rPr>
        <b/>
        <sz val="10"/>
        <color indexed="8"/>
        <rFont val="宋体"/>
        <charset val="134"/>
      </rPr>
      <t>元</t>
    </r>
    <r>
      <rPr>
        <b/>
        <sz val="10"/>
        <color indexed="8"/>
        <rFont val="Times New Roman"/>
        <charset val="134"/>
      </rPr>
      <t>)</t>
    </r>
  </si>
  <si>
    <t>其中：主材合价</t>
  </si>
  <si>
    <t>其中</t>
  </si>
  <si>
    <t>：人工费</t>
  </si>
  <si>
    <t>无</t>
  </si>
  <si>
    <t>合计（结转至表1报价汇总表）</t>
  </si>
  <si>
    <t>注：没有偏差，请在此表中写无。如有偏差，只填写对应的子项号、工程项目及费用名称及其内容。</t>
  </si>
  <si>
    <t>表4. 现场因素、施工技术措施及施工措施费用报价表</t>
  </si>
  <si>
    <t>表4  现场因素、施工技术措施及施工措施费用报价表（分标段）</t>
  </si>
  <si>
    <t>计价内容及计算过程</t>
  </si>
  <si>
    <t>金额，元</t>
  </si>
  <si>
    <t>备注</t>
  </si>
  <si>
    <r>
      <rPr>
        <sz val="11"/>
        <color rgb="FF000000"/>
        <rFont val="宋体"/>
        <charset val="134"/>
      </rPr>
      <t>共</t>
    </r>
    <r>
      <rPr>
        <sz val="11"/>
        <color rgb="FF000000"/>
        <rFont val="楷体_GB2312"/>
        <charset val="134"/>
      </rPr>
      <t xml:space="preserve">    页，本页小计     0  元</t>
    </r>
  </si>
  <si>
    <t>合计</t>
  </si>
  <si>
    <t>税金</t>
  </si>
  <si>
    <r>
      <rPr>
        <sz val="11"/>
        <color rgb="FF000000"/>
        <rFont val="宋体"/>
        <charset val="134"/>
      </rPr>
      <t>合计</t>
    </r>
    <r>
      <rPr>
        <sz val="11"/>
        <color rgb="FF000000"/>
        <rFont val="楷体_GB2312"/>
        <charset val="134"/>
      </rPr>
      <t xml:space="preserve"> 0元（结转至表1报价汇总表）</t>
    </r>
  </si>
  <si>
    <t xml:space="preserve"> </t>
  </si>
  <si>
    <t>投标单位：（盖章）</t>
  </si>
  <si>
    <t>法定代表人：（签字、盖章）</t>
  </si>
  <si>
    <t>日期 ：  年  月  日</t>
  </si>
  <si>
    <t>表5  安全文明施工费</t>
  </si>
  <si>
    <t>标段</t>
  </si>
  <si>
    <t>数量</t>
  </si>
  <si>
    <t>单价(元）</t>
  </si>
  <si>
    <t xml:space="preserve">辛集澳森2#连铸机改造工程      
 (安装标段) </t>
  </si>
  <si>
    <t>环境保护</t>
  </si>
  <si>
    <t>烟尘处理设备采购、使用</t>
  </si>
  <si>
    <t>安全生产/施工</t>
  </si>
  <si>
    <t>明细详见表6</t>
  </si>
  <si>
    <t>文明施工</t>
  </si>
  <si>
    <t>办公、生活区卫生</t>
  </si>
  <si>
    <t>材料堆放区整理、标准化标识</t>
  </si>
  <si>
    <t>临时设施</t>
  </si>
  <si>
    <t>施工场地围栏、围挡</t>
  </si>
  <si>
    <t>现场办公、材料堆放区设施</t>
  </si>
  <si>
    <t>日期 ：  年 月   日</t>
  </si>
  <si>
    <r>
      <rPr>
        <b/>
        <sz val="12"/>
        <color rgb="FF000000"/>
        <rFont val="宋体"/>
        <charset val="134"/>
      </rPr>
      <t>表6</t>
    </r>
    <r>
      <rPr>
        <b/>
        <sz val="12"/>
        <color rgb="FF000000"/>
        <rFont val="Times New Roman"/>
        <charset val="134"/>
      </rPr>
      <t xml:space="preserve">  </t>
    </r>
    <r>
      <rPr>
        <b/>
        <sz val="12"/>
        <color rgb="FF000000"/>
        <rFont val="宋体"/>
        <charset val="134"/>
      </rPr>
      <t>安全生产费用清单</t>
    </r>
  </si>
  <si>
    <t>安全生产费用清单</t>
  </si>
  <si>
    <t>类别</t>
  </si>
  <si>
    <t>明细</t>
  </si>
  <si>
    <t>金额（元）</t>
  </si>
  <si>
    <t>一、完善、改造和维护安全防护设施设备支出（不含“三同时”要求初期投入的安全设施），包括施工现场临时用电系统、洞口、临边、机械设备安全装置、高处作业防护、交叉作业防护、防火、防爆、防尘、防毒、防雷、防台风、防地质灾害、安全警示牌和标识牌、安全图板、安全防护棚、围挡、地下工程有害气体监测、通风、临时安全防护等设施设备支出，简称为“安全设施费”</t>
  </si>
  <si>
    <t>临时临边防护栏</t>
  </si>
  <si>
    <t>m</t>
  </si>
  <si>
    <t>孔洞盖板</t>
  </si>
  <si>
    <r>
      <rPr>
        <sz val="12"/>
        <color indexed="8"/>
        <rFont val="仿宋_GB2312"/>
        <charset val="134"/>
      </rPr>
      <t>m</t>
    </r>
    <r>
      <rPr>
        <vertAlign val="superscript"/>
        <sz val="12"/>
        <color indexed="8"/>
        <rFont val="仿宋_GB2312"/>
        <charset val="134"/>
      </rPr>
      <t>2</t>
    </r>
  </si>
  <si>
    <t>密目网</t>
  </si>
  <si>
    <t>防坠网</t>
  </si>
  <si>
    <t>防坠器</t>
  </si>
  <si>
    <r>
      <rPr>
        <sz val="10.5"/>
        <color indexed="8"/>
        <rFont val="宋体"/>
        <charset val="134"/>
      </rPr>
      <t>安全绳（</t>
    </r>
    <r>
      <rPr>
        <sz val="9"/>
        <color indexed="8"/>
        <rFont val="宋体"/>
        <charset val="134"/>
      </rPr>
      <t>φ</t>
    </r>
    <r>
      <rPr>
        <sz val="9"/>
        <color indexed="8"/>
        <rFont val="仿宋_GB2312"/>
        <charset val="134"/>
      </rPr>
      <t>1</t>
    </r>
    <r>
      <rPr>
        <sz val="9"/>
        <color indexed="8"/>
        <rFont val="仿宋_GB2312"/>
        <charset val="134"/>
      </rPr>
      <t>2mm</t>
    </r>
    <r>
      <rPr>
        <sz val="10.5"/>
        <color indexed="8"/>
        <rFont val="宋体"/>
        <charset val="134"/>
      </rPr>
      <t>）</t>
    </r>
  </si>
  <si>
    <t>轴流风机</t>
  </si>
  <si>
    <r>
      <rPr>
        <sz val="10.5"/>
        <color indexed="8"/>
        <rFont val="宋体"/>
        <charset val="134"/>
      </rPr>
      <t>施工</t>
    </r>
    <r>
      <rPr>
        <sz val="10.5"/>
        <color indexed="8"/>
        <rFont val="宋体"/>
        <charset val="134"/>
      </rPr>
      <t>围挡</t>
    </r>
  </si>
  <si>
    <t>规格参照标准化手册</t>
  </si>
  <si>
    <t>文明施工图牌</t>
  </si>
  <si>
    <t>块</t>
  </si>
  <si>
    <t>室内责任制牌</t>
  </si>
  <si>
    <t>安全警示牌</t>
  </si>
  <si>
    <t>气瓶固定装置（拖车）</t>
  </si>
  <si>
    <t>临电配电箱</t>
  </si>
  <si>
    <t>箱</t>
  </si>
  <si>
    <t>临电配电线路</t>
  </si>
  <si>
    <t>······</t>
  </si>
  <si>
    <t>二、配备、维护、保养应急救援器材、设备支出和应急救援队伍建设、应急预案制定与应急演练支出，简称为“应急救援费”</t>
  </si>
  <si>
    <t>灭火器</t>
  </si>
  <si>
    <t>具</t>
  </si>
  <si>
    <t>应急演练</t>
  </si>
  <si>
    <t>次</t>
  </si>
  <si>
    <t>应急药包</t>
  </si>
  <si>
    <t>三、开展重大危险源检测、评估、监控支出，安全生产风险分级管控和事故隐患整改支出，安全生产信息化建设、运维支出，简称为“风险控制费”</t>
  </si>
  <si>
    <t>隐患整改费用</t>
  </si>
  <si>
    <t>四、安全生产检查、评价（不包括新建、改建、扩建项目安全评价）、咨询和标准化建设支出，简称为“检查评价费”</t>
  </si>
  <si>
    <t>检查支出</t>
  </si>
  <si>
    <t>五、配备和更新现场作业人员安全防护用品支出，简称为“防护用品费”</t>
  </si>
  <si>
    <t>工作服</t>
  </si>
  <si>
    <t>安全帽</t>
  </si>
  <si>
    <t>顶</t>
  </si>
  <si>
    <t>劳保鞋</t>
  </si>
  <si>
    <t>双</t>
  </si>
  <si>
    <t>安全带</t>
  </si>
  <si>
    <t>副</t>
  </si>
  <si>
    <t>焊工手套</t>
  </si>
  <si>
    <t>焊工面罩</t>
  </si>
  <si>
    <t>护目镜</t>
  </si>
  <si>
    <t>电工手套</t>
  </si>
  <si>
    <t>电工绝缘劳保鞋</t>
  </si>
  <si>
    <t>普通手套</t>
  </si>
  <si>
    <t>工业防尘口罩</t>
  </si>
  <si>
    <t>耳塞</t>
  </si>
  <si>
    <t>对</t>
  </si>
  <si>
    <t>六、安全生产宣传、教育、培训和从业人员发现并报告事故隐患的奖励支出，简称为“宣传教育费”</t>
  </si>
  <si>
    <t>培训费</t>
  </si>
  <si>
    <t>人</t>
  </si>
  <si>
    <t>资料费</t>
  </si>
  <si>
    <t>安全宣传横幅</t>
  </si>
  <si>
    <t>道旗</t>
  </si>
  <si>
    <t>七、安全生产适用的新技术、新标准、新工艺、新装备的推广应用支出，简称为“四新应用费”</t>
  </si>
  <si>
    <t>八、安全设施及特种设备检测检验支出，简称为“设施检验费”</t>
  </si>
  <si>
    <t>气体报警仪标定</t>
  </si>
  <si>
    <t>九、安全生产责任保险支出，简称为“安全保险费”</t>
  </si>
  <si>
    <t>安全生产责任险</t>
  </si>
  <si>
    <t>十、其他与安全生产直接相关的支出，包含安全生产活动开展费用，包括但不限于安全生产类启动仪式、行为安全之星、青年安全示范岗等；安全生产课题研究费用；安全生产体系运行费用；其他与安全生产直接相关的费用的支出，简称为“其他安全费”。</t>
  </si>
  <si>
    <t>防暑药品</t>
  </si>
  <si>
    <t>人份</t>
  </si>
  <si>
    <t>医用口罩</t>
  </si>
  <si>
    <t>医用酒精</t>
  </si>
  <si>
    <t>L</t>
  </si>
  <si>
    <r>
      <rPr>
        <sz val="10.5"/>
        <color rgb="FFFF0000"/>
        <rFont val="宋体"/>
        <charset val="134"/>
      </rPr>
      <t>注：</t>
    </r>
    <r>
      <rPr>
        <sz val="10.5"/>
        <color rgb="FFFF0000"/>
        <rFont val="仿宋_GB2312"/>
        <charset val="134"/>
      </rPr>
      <t>1.</t>
    </r>
    <r>
      <rPr>
        <sz val="10.5"/>
        <color rgb="FFFF0000"/>
        <rFont val="宋体"/>
        <charset val="134"/>
      </rPr>
      <t>明细由各分包单位按照国家及规范要求列出。</t>
    </r>
  </si>
  <si>
    <t>流水号</t>
  </si>
  <si>
    <t>工程或费用名称</t>
  </si>
  <si>
    <t>数 量</t>
  </si>
  <si>
    <t>重量(吨)</t>
  </si>
  <si>
    <t>列1</t>
  </si>
  <si>
    <t>土建设施</t>
  </si>
  <si>
    <t>新建脱硫主厂房</t>
  </si>
  <si>
    <t>1、80厚C20混凝土面层,撤1:1水泥砂子压实赶光；2、150厚粒径10~40砾石灌M2.5混合砂浆或150厚3:7灰土
夯实,宽出面层100；3、压实填土,压实系数&gt;93%,向外坡3%~5%</t>
  </si>
  <si>
    <t>脱硫站轨道及基础</t>
  </si>
  <si>
    <t>建筑小房</t>
  </si>
  <si>
    <t>风机房及电气室改造</t>
  </si>
  <si>
    <t>其他零星构筑物</t>
  </si>
  <si>
    <t>地基处理</t>
  </si>
  <si>
    <t>工艺设施</t>
  </si>
  <si>
    <t>设备安装</t>
  </si>
  <si>
    <t>160t铸造起重机龙门钩</t>
  </si>
  <si>
    <t>16t双梁通用桥式起重机</t>
  </si>
  <si>
    <t>3t扒渣板更换电动葫芦</t>
  </si>
  <si>
    <t>1t吹气赶渣枪更换电动葫芦</t>
  </si>
  <si>
    <t>3t起重机检修电动葫芦</t>
  </si>
  <si>
    <t>材料及安装</t>
  </si>
  <si>
    <t>燃气设施</t>
  </si>
  <si>
    <t>氧气用点阀箱</t>
  </si>
  <si>
    <t>手提式干粉灭火器</t>
  </si>
  <si>
    <t>手提式二氧化碳灭火器</t>
  </si>
  <si>
    <t>灭火器箱</t>
  </si>
  <si>
    <t>不锈钢钢管</t>
  </si>
  <si>
    <t>热力设施</t>
  </si>
  <si>
    <t>法兰连接手动闸阀</t>
  </si>
  <si>
    <t>法兰连接截止阀</t>
  </si>
  <si>
    <t>给排水设施</t>
  </si>
  <si>
    <t>焊接钢管</t>
  </si>
  <si>
    <t>镀锌钢管</t>
  </si>
  <si>
    <t>焊接钢管（埋地）</t>
  </si>
  <si>
    <t>室内消火栓DN65  含水带及水枪</t>
  </si>
  <si>
    <t>钢混检查井</t>
  </si>
  <si>
    <t>Ø1200，参02S515</t>
  </si>
  <si>
    <t>座</t>
  </si>
  <si>
    <t>HDPE检查井</t>
  </si>
  <si>
    <t>Ø1000，参08SS523</t>
  </si>
  <si>
    <t>砖砌雨水口</t>
  </si>
  <si>
    <t>参05S518</t>
  </si>
  <si>
    <t>通风设施</t>
  </si>
  <si>
    <t>电动耐磨尘气蝶阀</t>
  </si>
  <si>
    <t>离心通风机及电机</t>
  </si>
  <si>
    <t>70万m3/h 5500Pa；电机1600kW 10kV</t>
  </si>
  <si>
    <t>非金属补偿器</t>
  </si>
  <si>
    <t>各种规格、各种型号、Q235</t>
  </si>
  <si>
    <t>电气设施</t>
  </si>
  <si>
    <t>配电柜</t>
  </si>
  <si>
    <t>电气柜</t>
  </si>
  <si>
    <t>动力配电箱</t>
  </si>
  <si>
    <t>操作箱</t>
  </si>
  <si>
    <t>操作台</t>
  </si>
  <si>
    <t>开关盒</t>
  </si>
  <si>
    <t>现场检修箱</t>
  </si>
  <si>
    <t>端子箱</t>
  </si>
  <si>
    <t>照明配电箱</t>
  </si>
  <si>
    <t>接地箱</t>
  </si>
  <si>
    <t>PROFINE网络组件</t>
  </si>
  <si>
    <t>阀门控制箱</t>
  </si>
  <si>
    <t>钢基铜导体滑触线</t>
  </si>
  <si>
    <t>450A 单相</t>
  </si>
  <si>
    <t>移动耐高温动力电缆 YGGR-450/750</t>
  </si>
  <si>
    <t>动力电缆  ZR-YJV-0.6/1kV</t>
  </si>
  <si>
    <t>耐高温动力软电缆 ZR-YGCR-0.6/1kV</t>
  </si>
  <si>
    <t>耐高温动力电缆 ZR-YGG-0.6/1kV</t>
  </si>
  <si>
    <t>变频动力电缆 ZR-BPGGP</t>
  </si>
  <si>
    <t>变频动力软电缆 ZR-BPGGPR</t>
  </si>
  <si>
    <t>耐高温屏蔽控制电缆 ZR-KGGRP-500</t>
  </si>
  <si>
    <t>控制电缆 ZR-KVVR-500</t>
  </si>
  <si>
    <t>控制电缆 ZR-KVVRP-500</t>
  </si>
  <si>
    <t>导线</t>
  </si>
  <si>
    <t>通讯电缆（电缆由总包方供货）</t>
  </si>
  <si>
    <t>桥架钢结构支架</t>
  </si>
  <si>
    <t>PVC管</t>
  </si>
  <si>
    <t>金属软管（含接头）</t>
  </si>
  <si>
    <t>电力设施</t>
  </si>
  <si>
    <t>除尘电机新增高压变频器</t>
  </si>
  <si>
    <t>变频电机:1600kW 
高压变频器，手动旁路柜，含空水冷装置1台</t>
  </si>
  <si>
    <t>10kV电缆</t>
  </si>
  <si>
    <t>控制电缆</t>
  </si>
  <si>
    <t>10kV电缆头</t>
  </si>
  <si>
    <t>仪表设施</t>
  </si>
  <si>
    <t>铁水测温仪</t>
  </si>
  <si>
    <t>电子称</t>
  </si>
  <si>
    <t>钢丝绳张力计</t>
  </si>
  <si>
    <t>热电阻</t>
  </si>
  <si>
    <t>支</t>
  </si>
  <si>
    <t>一体式流量计</t>
  </si>
  <si>
    <t>压力变送器</t>
  </si>
  <si>
    <t>压力表</t>
  </si>
  <si>
    <t>气动切断阀</t>
  </si>
  <si>
    <t>流量孔板</t>
  </si>
  <si>
    <t>差压变送器</t>
  </si>
  <si>
    <t>电磁流量计</t>
  </si>
  <si>
    <t>PLC柜</t>
  </si>
  <si>
    <t>面</t>
  </si>
  <si>
    <t>阻燃对绞总屏蔽计算机软电缆</t>
  </si>
  <si>
    <t>阻燃控制屏蔽软电缆</t>
  </si>
  <si>
    <t>阻燃控制软电缆</t>
  </si>
  <si>
    <t>PROFIBUS电缆</t>
  </si>
  <si>
    <t>6类屏蔽网线（总包方供货）</t>
  </si>
  <si>
    <t>PN网线（总包方供货）</t>
  </si>
  <si>
    <t>DP线路（由总包方供货）</t>
  </si>
  <si>
    <t>紫铜管</t>
  </si>
  <si>
    <t>φ8x1</t>
  </si>
  <si>
    <t>计算机系统</t>
  </si>
  <si>
    <t>二级计算机系统</t>
  </si>
  <si>
    <t>服务器</t>
  </si>
  <si>
    <t>工作站</t>
  </si>
  <si>
    <t>操作终端</t>
  </si>
  <si>
    <t>服务器机柜</t>
  </si>
  <si>
    <t>交换机</t>
  </si>
  <si>
    <t>光纤配线架</t>
  </si>
  <si>
    <t>辅材</t>
  </si>
  <si>
    <t>网线2米*10根,水晶头50个/盒*1</t>
  </si>
  <si>
    <t>PVC线槽</t>
  </si>
  <si>
    <t>动力电缆</t>
  </si>
  <si>
    <t>16芯</t>
  </si>
  <si>
    <t>LC-ST单模双芯</t>
  </si>
  <si>
    <t>自动扒渣系统</t>
  </si>
  <si>
    <t>渣面检测相机及防护罩</t>
  </si>
  <si>
    <t>倾翻检测相机及防护罩</t>
  </si>
  <si>
    <t>渣盆检测相机及防护罩</t>
  </si>
  <si>
    <t>铁水液面计与保护罩</t>
  </si>
  <si>
    <t>相机风冷阀门箱</t>
  </si>
  <si>
    <t>含手动球阀、压力表、空气过滤器等</t>
  </si>
  <si>
    <t>配电和网络箱</t>
  </si>
  <si>
    <t>千兆光电转换器</t>
  </si>
  <si>
    <t>智能扒渣服务器</t>
  </si>
  <si>
    <t>阻燃对绞屏蔽软电缆</t>
  </si>
  <si>
    <t>阻燃耐高温动力软电缆</t>
  </si>
  <si>
    <t>耐高温隔热套管</t>
  </si>
  <si>
    <t>罐架识别系统</t>
  </si>
  <si>
    <t>系统工作站</t>
  </si>
  <si>
    <t>调试工作站</t>
  </si>
  <si>
    <t>二级组网交换机</t>
  </si>
  <si>
    <t>一级组网交换机</t>
  </si>
  <si>
    <t>RFID安装箱</t>
  </si>
  <si>
    <t>220转24直流电源</t>
  </si>
  <si>
    <t>24V/10A电源</t>
  </si>
  <si>
    <t>RFID识别装置</t>
  </si>
  <si>
    <t>RF680R、RF650A、RF660A</t>
  </si>
  <si>
    <t>RFID天线立杆</t>
  </si>
  <si>
    <t>2.5米监控立杆，平均口径65mm</t>
  </si>
  <si>
    <t>RF680高温标签</t>
  </si>
  <si>
    <t>镀锌金属波纹管</t>
  </si>
  <si>
    <t>铝合金板</t>
  </si>
  <si>
    <t>标准4mm厚度表面阳极氧化或电泳处理</t>
  </si>
  <si>
    <t>4芯光缆（含端子盒）</t>
  </si>
  <si>
    <t>铠装动力电缆</t>
  </si>
  <si>
    <t>控制线缆</t>
  </si>
  <si>
    <t>电讯设施</t>
  </si>
  <si>
    <t>电话系统</t>
  </si>
  <si>
    <t>接线箱2套，电话机4台</t>
  </si>
  <si>
    <t>摄像机31套，监视器9套，配套支架、存储器、解码器、机柜、工作站等</t>
  </si>
  <si>
    <t>对讲系统</t>
  </si>
  <si>
    <t>无线对讲18套，对讲站1套，扬声器1套</t>
  </si>
  <si>
    <t>火灾报警系统</t>
  </si>
  <si>
    <t>火焰、感烟及感温探测器24套；壁挂广播3套；配套接线箱模块等</t>
  </si>
  <si>
    <t>大对数通讯电缆</t>
  </si>
  <si>
    <t>6类非屏蔽双绞线</t>
  </si>
  <si>
    <t>单模光缆</t>
  </si>
  <si>
    <t>GYXTW-4B 4芯</t>
  </si>
  <si>
    <t>GYXTW-12B 12芯</t>
  </si>
  <si>
    <t>尾纤</t>
  </si>
  <si>
    <t>单模，FC/PC</t>
  </si>
  <si>
    <t>根</t>
  </si>
  <si>
    <t>光纤跳线</t>
  </si>
  <si>
    <t>单模，FC/LC，2m</t>
  </si>
  <si>
    <t>电缆</t>
  </si>
  <si>
    <t>广播线</t>
  </si>
  <si>
    <t>耐火阻燃电缆</t>
  </si>
  <si>
    <t>总图设施</t>
  </si>
  <si>
    <t>铁水称（轨道衡）</t>
  </si>
  <si>
    <t>400t双向称量不断轨的全电子动态轨道衡</t>
  </si>
  <si>
    <t>新建钢筋混凝土排水沟</t>
  </si>
  <si>
    <t>钢筋混凝土盖板</t>
  </si>
  <si>
    <t>钢筋混凝土盖板，长580mm，宽490mm，厚150mm</t>
  </si>
  <si>
    <t>车挡</t>
  </si>
  <si>
    <t>钢筋混凝土弹簧车档</t>
  </si>
  <si>
    <t>新建道路</t>
  </si>
  <si>
    <t>城市型，混凝土面层厚23cm，水泥稳定碎石基层厚20cm，级配碎石基层厚20cm，天然砂砾垫层15cm。</t>
  </si>
  <si>
    <t>土方回填</t>
  </si>
  <si>
    <t>树木移栽</t>
  </si>
  <si>
    <t>胸径20cm</t>
  </si>
  <si>
    <t>棵</t>
  </si>
  <si>
    <t>铁路土路基压实</t>
  </si>
  <si>
    <t>拆除</t>
  </si>
  <si>
    <t>拆除厂房柱基础</t>
  </si>
  <si>
    <t>拆除厂房钢结构</t>
  </si>
  <si>
    <t>屋面彩钢板拆除</t>
  </si>
  <si>
    <t>墙面彩钢板拆除</t>
  </si>
  <si>
    <t>拆除两套脱硫设施钢平台</t>
  </si>
  <si>
    <t>拆除排水沟</t>
  </si>
  <si>
    <t>拆除铁水罐坑</t>
  </si>
  <si>
    <t>拆除管道支架基础</t>
  </si>
  <si>
    <t>拆除烟囱基础</t>
  </si>
  <si>
    <t>拆除烟囱本体钢结构</t>
  </si>
  <si>
    <t>拆除管道钢结构支架</t>
  </si>
  <si>
    <t>拆除脱硫站钢平台</t>
  </si>
  <si>
    <t>拆除一层电气室</t>
  </si>
  <si>
    <t>拆除电缆隧道通风小房</t>
  </si>
  <si>
    <t>拆除液压站</t>
  </si>
  <si>
    <t>拆除MCC电气室</t>
  </si>
  <si>
    <t>拆除操作室、PLC室</t>
  </si>
  <si>
    <t>拆除悬臂吊</t>
  </si>
  <si>
    <t>拆除喷吹脱硫站加料系统设备、管道</t>
  </si>
  <si>
    <t>拆除布袋除尘设施 20万m3/h</t>
  </si>
  <si>
    <t>拆除离心通风机风量85万m3/h（含电机）</t>
  </si>
  <si>
    <t>拆除原精炼除尘高压变频器</t>
  </si>
  <si>
    <t>拆除10kV电缆</t>
  </si>
  <si>
    <t>3X70；一般性拆除</t>
  </si>
  <si>
    <t>拆除道路</t>
  </si>
  <si>
    <t>混凝土面层厚23cm，水泥稳定碎石基层厚20cm，级配碎石基层厚20cm，天然砂砾垫层15cm。一般性拆除</t>
  </si>
  <si>
    <t>保护性拆除轨道衡</t>
  </si>
  <si>
    <t>400t电子动态轨道衡</t>
  </si>
  <si>
    <t>保护性拆除铁路</t>
  </si>
  <si>
    <t>冶IA级，60kg/m钢轨，钢筋混凝土枕1840根/km</t>
  </si>
  <si>
    <t>保护性拆除道岔</t>
  </si>
  <si>
    <t>60Kg/m钢轨，1/7单开道岔，AT尖轨道岔，配套混凝土岔枕</t>
  </si>
  <si>
    <t>付</t>
  </si>
  <si>
    <t>(多项)</t>
  </si>
  <si>
    <t>求和项:总计</t>
  </si>
  <si>
    <t>平均值项:综合单价</t>
  </si>
  <si>
    <t>求和项:主材单价</t>
  </si>
  <si>
    <t>求和项:人工费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</si>
</sst>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\&quot;#,##0;&quot;\&quot;&quot;\&quot;\-#,##0"/>
    <numFmt numFmtId="177" formatCode="&quot;\&quot;#,##0.00;&quot;\&quot;&quot;\&quot;\-#,##0.00"/>
    <numFmt numFmtId="178" formatCode="\$#,##0.00;\(\$#,##0.00\)"/>
    <numFmt numFmtId="179" formatCode="[$-F400]h:mm:ss\ AM/PM"/>
    <numFmt numFmtId="180" formatCode="0&quot;.&quot;0,&quot;万元&quot;"/>
    <numFmt numFmtId="181" formatCode="0_ "/>
    <numFmt numFmtId="182" formatCode="0.0_ "/>
    <numFmt numFmtId="183" formatCode="0_);[Red]\(0\)"/>
    <numFmt numFmtId="184" formatCode="0.00_ "/>
    <numFmt numFmtId="185" formatCode="_-[$€-2]\ * #,##0.00_-;\-[$€-2]\ * #,##0.00_-;_-[$€-2]\ * &quot;-&quot;??_-"/>
    <numFmt numFmtId="186" formatCode="0.00_);[Red]\(0.00\)"/>
    <numFmt numFmtId="187" formatCode="[DBNum2][$RMB]General;[Red][DBNum2][$RMB]General"/>
  </numFmts>
  <fonts count="78">
    <font>
      <sz val="11"/>
      <color theme="1"/>
      <name val="宋体"/>
      <charset val="134"/>
      <scheme val="minor"/>
    </font>
    <font>
      <b/>
      <sz val="11"/>
      <color indexed="8"/>
      <name val="宋体"/>
      <charset val="134"/>
    </font>
    <font>
      <sz val="11"/>
      <color indexed="8"/>
      <name val="宋体"/>
      <charset val="134"/>
    </font>
    <font>
      <b/>
      <sz val="12"/>
      <color rgb="FF000000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黑体"/>
      <charset val="134"/>
    </font>
    <font>
      <sz val="10.5"/>
      <color indexed="8"/>
      <name val="宋体"/>
      <charset val="134"/>
    </font>
    <font>
      <sz val="12"/>
      <color indexed="8"/>
      <name val="仿宋_GB2312"/>
      <charset val="134"/>
    </font>
    <font>
      <sz val="10.5"/>
      <color rgb="FF000000"/>
      <name val="仿宋_GB2312"/>
      <charset val="134"/>
    </font>
    <font>
      <sz val="10.5"/>
      <color indexed="8"/>
      <name val="仿宋_GB2312"/>
      <charset val="134"/>
    </font>
    <font>
      <sz val="12"/>
      <color indexed="8"/>
      <name val="Times New Roman"/>
      <charset val="134"/>
    </font>
    <font>
      <sz val="10"/>
      <color indexed="8"/>
      <name val="Times New Roman"/>
      <charset val="134"/>
    </font>
    <font>
      <b/>
      <sz val="10.5"/>
      <color indexed="8"/>
      <name val="宋体"/>
      <charset val="134"/>
    </font>
    <font>
      <b/>
      <sz val="10.5"/>
      <color indexed="8"/>
      <name val="仿宋_GB2312"/>
      <charset val="134"/>
    </font>
    <font>
      <sz val="10.5"/>
      <color rgb="FFFF0000"/>
      <name val="宋体"/>
      <charset val="134"/>
    </font>
    <font>
      <sz val="12"/>
      <color indexed="8"/>
      <name val="宋体"/>
      <charset val="134"/>
    </font>
    <font>
      <sz val="10"/>
      <color indexed="8"/>
      <name val="宋体"/>
      <charset val="134"/>
    </font>
    <font>
      <sz val="10"/>
      <color rgb="FFFF0000"/>
      <name val="宋体"/>
      <charset val="134"/>
    </font>
    <font>
      <sz val="11"/>
      <color rgb="FFFF0000"/>
      <name val="宋体"/>
      <charset val="134"/>
    </font>
    <font>
      <b/>
      <sz val="10"/>
      <color indexed="8"/>
      <name val="宋体"/>
      <charset val="134"/>
    </font>
    <font>
      <sz val="12"/>
      <color indexed="8"/>
      <name val="楷体_GB2312"/>
      <charset val="134"/>
    </font>
    <font>
      <b/>
      <sz val="12"/>
      <color indexed="8"/>
      <name val="楷体_GB2312"/>
      <charset val="134"/>
    </font>
    <font>
      <sz val="11"/>
      <color rgb="FF000000"/>
      <name val="宋体"/>
      <charset val="134"/>
    </font>
    <font>
      <sz val="11"/>
      <color indexed="8"/>
      <name val="楷体_GB2312"/>
      <charset val="134"/>
    </font>
    <font>
      <b/>
      <sz val="11"/>
      <color indexed="8"/>
      <name val="楷体_GB2312"/>
      <charset val="134"/>
    </font>
    <font>
      <sz val="10"/>
      <color indexed="8"/>
      <name val="楷体_GB2312"/>
      <charset val="134"/>
    </font>
    <font>
      <sz val="10"/>
      <name val="宋体"/>
      <charset val="134"/>
      <scheme val="minor"/>
    </font>
    <font>
      <sz val="10"/>
      <name val="Times New Roman"/>
      <charset val="134"/>
    </font>
    <font>
      <sz val="10"/>
      <name val="宋体"/>
      <charset val="134"/>
    </font>
    <font>
      <sz val="10"/>
      <name val="Times New Roman"/>
      <charset val="0"/>
    </font>
    <font>
      <sz val="10"/>
      <name val="宋体"/>
      <charset val="0"/>
    </font>
    <font>
      <sz val="10"/>
      <name val="Times New Roman"/>
      <charset val="161"/>
    </font>
    <font>
      <sz val="11"/>
      <color theme="1"/>
      <name val="Times New Roman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1"/>
      <name val="Times New Roman"/>
      <charset val="134"/>
    </font>
    <font>
      <b/>
      <sz val="9"/>
      <name val="Times New Roman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sz val="9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7.5"/>
      <color indexed="12"/>
      <name val="Arial"/>
      <charset val="134"/>
    </font>
    <font>
      <sz val="11"/>
      <name val="돋움"/>
      <charset val="134"/>
    </font>
    <font>
      <sz val="10"/>
      <name val="Helv"/>
      <charset val="134"/>
    </font>
    <font>
      <sz val="10"/>
      <name val="Arial"/>
      <charset val="134"/>
    </font>
    <font>
      <sz val="12"/>
      <name val="宋体"/>
      <charset val="134"/>
    </font>
    <font>
      <sz val="12"/>
      <name val="바탕체"/>
      <charset val="134"/>
    </font>
    <font>
      <sz val="10"/>
      <name val="Geneva"/>
      <charset val="0"/>
    </font>
    <font>
      <b/>
      <sz val="11"/>
      <color indexed="63"/>
      <name val="宋体"/>
      <charset val="134"/>
    </font>
    <font>
      <sz val="11"/>
      <color indexed="8"/>
      <name val="Tahoma"/>
      <charset val="134"/>
    </font>
    <font>
      <b/>
      <sz val="12"/>
      <color rgb="FF000000"/>
      <name val="Times New Roman"/>
      <charset val="134"/>
    </font>
    <font>
      <b/>
      <sz val="10"/>
      <color indexed="8"/>
      <name val="Times New Roman"/>
      <charset val="134"/>
    </font>
    <font>
      <sz val="9"/>
      <color indexed="8"/>
      <name val="宋体"/>
      <charset val="134"/>
    </font>
    <font>
      <sz val="9"/>
      <color indexed="8"/>
      <name val="仿宋_GB2312"/>
      <charset val="134"/>
    </font>
    <font>
      <sz val="10.5"/>
      <color rgb="FFFF0000"/>
      <name val="仿宋_GB2312"/>
      <charset val="134"/>
    </font>
    <font>
      <sz val="11"/>
      <color rgb="FF000000"/>
      <name val="楷体_GB2312"/>
      <charset val="134"/>
    </font>
    <font>
      <b/>
      <sz val="9"/>
      <name val="宋体"/>
      <charset val="134"/>
    </font>
    <font>
      <sz val="10"/>
      <color rgb="FFFF0000"/>
      <name val="宋体"/>
      <charset val="134"/>
      <scheme val="minor"/>
    </font>
    <font>
      <vertAlign val="superscript"/>
      <sz val="12"/>
      <color indexed="8"/>
      <name val="仿宋_GB2312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2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</borders>
  <cellStyleXfs count="7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0" fillId="4" borderId="8" applyNumberFormat="0" applyFont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9" applyNumberFormat="0" applyFill="0" applyAlignment="0" applyProtection="0">
      <alignment vertical="center"/>
    </xf>
    <xf numFmtId="0" fontId="47" fillId="0" borderId="9" applyNumberFormat="0" applyFill="0" applyAlignment="0" applyProtection="0">
      <alignment vertical="center"/>
    </xf>
    <xf numFmtId="0" fontId="48" fillId="0" borderId="10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5" borderId="11" applyNumberFormat="0" applyAlignment="0" applyProtection="0">
      <alignment vertical="center"/>
    </xf>
    <xf numFmtId="0" fontId="50" fillId="6" borderId="12" applyNumberFormat="0" applyAlignment="0" applyProtection="0">
      <alignment vertical="center"/>
    </xf>
    <xf numFmtId="0" fontId="51" fillId="6" borderId="11" applyNumberFormat="0" applyAlignment="0" applyProtection="0">
      <alignment vertical="center"/>
    </xf>
    <xf numFmtId="0" fontId="52" fillId="7" borderId="13" applyNumberFormat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5" applyNumberFormat="0" applyFill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9" borderId="0" applyNumberFormat="0" applyBorder="0" applyAlignment="0" applyProtection="0">
      <alignment vertical="center"/>
    </xf>
    <xf numFmtId="0" fontId="57" fillId="10" borderId="0" applyNumberFormat="0" applyBorder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3" borderId="0" applyNumberFormat="0" applyBorder="0" applyAlignment="0" applyProtection="0">
      <alignment vertical="center"/>
    </xf>
    <xf numFmtId="0" fontId="58" fillId="14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7" borderId="0" applyNumberFormat="0" applyBorder="0" applyAlignment="0" applyProtection="0">
      <alignment vertical="center"/>
    </xf>
    <xf numFmtId="0" fontId="58" fillId="18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1" borderId="0" applyNumberFormat="0" applyBorder="0" applyAlignment="0" applyProtection="0">
      <alignment vertical="center"/>
    </xf>
    <xf numFmtId="0" fontId="58" fillId="22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5" borderId="0" applyNumberFormat="0" applyBorder="0" applyAlignment="0" applyProtection="0">
      <alignment vertical="center"/>
    </xf>
    <xf numFmtId="0" fontId="58" fillId="26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29" borderId="0" applyNumberFormat="0" applyBorder="0" applyAlignment="0" applyProtection="0">
      <alignment vertical="center"/>
    </xf>
    <xf numFmtId="0" fontId="58" fillId="30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9" fillId="33" borderId="0" applyNumberFormat="0" applyBorder="0" applyAlignment="0" applyProtection="0">
      <alignment vertical="center"/>
    </xf>
    <xf numFmtId="0" fontId="58" fillId="34" borderId="0" applyNumberFormat="0" applyBorder="0" applyAlignment="0" applyProtection="0">
      <alignment vertical="center"/>
    </xf>
    <xf numFmtId="0" fontId="33" fillId="0" borderId="0"/>
    <xf numFmtId="0" fontId="60" fillId="0" borderId="0" applyNumberFormat="0" applyFill="0" applyBorder="0" applyAlignment="0" applyProtection="0">
      <alignment vertical="top"/>
      <protection locked="0"/>
    </xf>
    <xf numFmtId="176" fontId="61" fillId="0" borderId="0" applyFont="0" applyFill="0" applyBorder="0" applyAlignment="0" applyProtection="0"/>
    <xf numFmtId="0" fontId="62" fillId="0" borderId="0"/>
    <xf numFmtId="0" fontId="33" fillId="0" borderId="0"/>
    <xf numFmtId="41" fontId="63" fillId="0" borderId="0" applyFont="0" applyFill="0" applyBorder="0" applyAlignment="0" applyProtection="0"/>
    <xf numFmtId="43" fontId="63" fillId="0" borderId="0" applyFont="0" applyFill="0" applyBorder="0" applyAlignment="0" applyProtection="0"/>
    <xf numFmtId="177" fontId="61" fillId="0" borderId="0" applyFont="0" applyFill="0" applyBorder="0" applyAlignment="0" applyProtection="0"/>
    <xf numFmtId="178" fontId="27" fillId="0" borderId="0">
      <alignment vertical="center"/>
    </xf>
    <xf numFmtId="0" fontId="63" fillId="0" borderId="0"/>
    <xf numFmtId="0" fontId="64" fillId="0" borderId="0">
      <alignment vertical="center"/>
    </xf>
    <xf numFmtId="0" fontId="65" fillId="0" borderId="0"/>
    <xf numFmtId="0" fontId="64" fillId="0" borderId="0"/>
    <xf numFmtId="0" fontId="64" fillId="0" borderId="0"/>
    <xf numFmtId="0" fontId="64" fillId="0" borderId="0"/>
    <xf numFmtId="0" fontId="2" fillId="0" borderId="0">
      <alignment vertical="center"/>
    </xf>
    <xf numFmtId="0" fontId="66" fillId="0" borderId="0"/>
    <xf numFmtId="179" fontId="2" fillId="0" borderId="0">
      <alignment vertical="center"/>
    </xf>
    <xf numFmtId="179" fontId="67" fillId="35" borderId="16" applyAlignment="0" applyProtection="0">
      <alignment vertical="center"/>
    </xf>
    <xf numFmtId="179" fontId="2" fillId="0" borderId="0" applyNumberFormat="0" applyFill="0" applyBorder="0" applyAlignment="0" applyProtection="0">
      <alignment vertical="center"/>
    </xf>
    <xf numFmtId="179" fontId="2" fillId="0" borderId="0">
      <alignment vertical="center"/>
    </xf>
    <xf numFmtId="0" fontId="68" fillId="0" borderId="0"/>
  </cellStyleXfs>
  <cellXfs count="217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179" fontId="1" fillId="0" borderId="0" xfId="0" applyNumberFormat="1" applyFont="1" applyFill="1" applyAlignment="1">
      <alignment vertical="center"/>
    </xf>
    <xf numFmtId="179" fontId="2" fillId="0" borderId="0" xfId="0" applyNumberFormat="1" applyFont="1" applyFill="1" applyAlignment="1">
      <alignment horizontal="left" vertical="center"/>
    </xf>
    <xf numFmtId="179" fontId="2" fillId="0" borderId="0" xfId="0" applyNumberFormat="1" applyFont="1" applyFill="1" applyAlignment="1">
      <alignment vertical="center"/>
    </xf>
    <xf numFmtId="179" fontId="2" fillId="0" borderId="0" xfId="0" applyNumberFormat="1" applyFont="1" applyFill="1" applyAlignment="1">
      <alignment horizontal="center" vertical="center"/>
    </xf>
    <xf numFmtId="181" fontId="2" fillId="0" borderId="0" xfId="0" applyNumberFormat="1" applyFont="1" applyFill="1" applyAlignment="1">
      <alignment horizontal="center" vertical="center"/>
    </xf>
    <xf numFmtId="179" fontId="3" fillId="0" borderId="0" xfId="0" applyNumberFormat="1" applyFont="1" applyFill="1" applyAlignment="1">
      <alignment horizontal="center" vertical="center"/>
    </xf>
    <xf numFmtId="179" fontId="4" fillId="0" borderId="0" xfId="0" applyNumberFormat="1" applyFont="1" applyFill="1" applyAlignment="1">
      <alignment horizontal="center" vertical="center"/>
    </xf>
    <xf numFmtId="181" fontId="4" fillId="0" borderId="0" xfId="0" applyNumberFormat="1" applyFont="1" applyFill="1" applyAlignment="1">
      <alignment horizontal="center" vertical="center"/>
    </xf>
    <xf numFmtId="179" fontId="5" fillId="0" borderId="0" xfId="0" applyNumberFormat="1" applyFont="1" applyFill="1" applyAlignment="1">
      <alignment horizontal="center" vertical="center"/>
    </xf>
    <xf numFmtId="181" fontId="5" fillId="0" borderId="0" xfId="0" applyNumberFormat="1" applyFont="1" applyFill="1" applyAlignment="1">
      <alignment horizontal="center" vertical="center"/>
    </xf>
    <xf numFmtId="179" fontId="6" fillId="0" borderId="1" xfId="0" applyNumberFormat="1" applyFont="1" applyFill="1" applyBorder="1" applyAlignment="1">
      <alignment horizontal="center" vertical="center" wrapText="1"/>
    </xf>
    <xf numFmtId="181" fontId="6" fillId="0" borderId="1" xfId="0" applyNumberFormat="1" applyFont="1" applyFill="1" applyBorder="1" applyAlignment="1">
      <alignment horizontal="center" vertical="center" wrapText="1"/>
    </xf>
    <xf numFmtId="179" fontId="6" fillId="0" borderId="2" xfId="0" applyNumberFormat="1" applyFont="1" applyFill="1" applyBorder="1" applyAlignment="1">
      <alignment horizontal="left" vertical="center" wrapText="1"/>
    </xf>
    <xf numFmtId="179" fontId="6" fillId="0" borderId="1" xfId="0" applyNumberFormat="1" applyFont="1" applyFill="1" applyBorder="1" applyAlignment="1">
      <alignment horizontal="left" vertical="center" wrapText="1"/>
    </xf>
    <xf numFmtId="179" fontId="7" fillId="0" borderId="1" xfId="0" applyNumberFormat="1" applyFont="1" applyFill="1" applyBorder="1" applyAlignment="1">
      <alignment horizontal="center" vertical="center" wrapText="1"/>
    </xf>
    <xf numFmtId="181" fontId="8" fillId="0" borderId="1" xfId="0" applyNumberFormat="1" applyFont="1" applyFill="1" applyBorder="1" applyAlignment="1">
      <alignment horizontal="center" vertical="center" wrapText="1"/>
    </xf>
    <xf numFmtId="181" fontId="9" fillId="0" borderId="1" xfId="0" applyNumberFormat="1" applyFont="1" applyFill="1" applyBorder="1" applyAlignment="1">
      <alignment horizontal="center" vertical="center" wrapText="1"/>
    </xf>
    <xf numFmtId="179" fontId="10" fillId="0" borderId="1" xfId="0" applyNumberFormat="1" applyFont="1" applyFill="1" applyBorder="1" applyAlignment="1">
      <alignment horizontal="center" vertical="center" wrapText="1"/>
    </xf>
    <xf numFmtId="179" fontId="6" fillId="0" borderId="3" xfId="0" applyNumberFormat="1" applyFont="1" applyFill="1" applyBorder="1" applyAlignment="1">
      <alignment horizontal="left" vertical="center" wrapText="1"/>
    </xf>
    <xf numFmtId="0" fontId="11" fillId="0" borderId="1" xfId="0" applyNumberFormat="1" applyFont="1" applyFill="1" applyBorder="1" applyAlignment="1">
      <alignment horizontal="center" vertical="center" wrapText="1"/>
    </xf>
    <xf numFmtId="179" fontId="9" fillId="0" borderId="1" xfId="0" applyNumberFormat="1" applyFont="1" applyFill="1" applyBorder="1" applyAlignment="1">
      <alignment horizontal="center" vertical="center" wrapText="1"/>
    </xf>
    <xf numFmtId="179" fontId="6" fillId="0" borderId="4" xfId="0" applyNumberFormat="1" applyFont="1" applyFill="1" applyBorder="1" applyAlignment="1">
      <alignment horizontal="left" vertical="center" wrapText="1"/>
    </xf>
    <xf numFmtId="179" fontId="6" fillId="0" borderId="1" xfId="0" applyNumberFormat="1" applyFont="1" applyFill="1" applyBorder="1" applyAlignment="1">
      <alignment vertical="center" wrapText="1"/>
    </xf>
    <xf numFmtId="179" fontId="9" fillId="0" borderId="1" xfId="0" applyNumberFormat="1" applyFont="1" applyFill="1" applyBorder="1" applyAlignment="1">
      <alignment horizontal="left" vertical="center" wrapText="1"/>
    </xf>
    <xf numFmtId="182" fontId="9" fillId="0" borderId="1" xfId="0" applyNumberFormat="1" applyFont="1" applyFill="1" applyBorder="1" applyAlignment="1">
      <alignment horizontal="center" vertical="center" wrapText="1"/>
    </xf>
    <xf numFmtId="182" fontId="8" fillId="0" borderId="1" xfId="0" applyNumberFormat="1" applyFont="1" applyFill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horizontal="center" vertical="center"/>
    </xf>
    <xf numFmtId="181" fontId="2" fillId="0" borderId="1" xfId="0" applyNumberFormat="1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left" vertical="center" wrapText="1"/>
    </xf>
    <xf numFmtId="179" fontId="1" fillId="0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81" fontId="13" fillId="0" borderId="1" xfId="0" applyNumberFormat="1" applyFont="1" applyFill="1" applyBorder="1" applyAlignment="1">
      <alignment horizontal="center" vertical="center" wrapText="1"/>
    </xf>
    <xf numFmtId="179" fontId="13" fillId="0" borderId="1" xfId="0" applyNumberFormat="1" applyFont="1" applyFill="1" applyBorder="1" applyAlignment="1">
      <alignment horizontal="center" vertical="center" wrapText="1"/>
    </xf>
    <xf numFmtId="179" fontId="12" fillId="0" borderId="1" xfId="0" applyNumberFormat="1" applyFont="1" applyFill="1" applyBorder="1" applyAlignment="1">
      <alignment horizontal="center" vertical="center" wrapText="1"/>
    </xf>
    <xf numFmtId="183" fontId="13" fillId="0" borderId="1" xfId="0" applyNumberFormat="1" applyFont="1" applyFill="1" applyBorder="1" applyAlignment="1">
      <alignment horizontal="left" vertical="center" wrapText="1" indent="2"/>
    </xf>
    <xf numFmtId="183" fontId="13" fillId="0" borderId="1" xfId="0" applyNumberFormat="1" applyFont="1" applyFill="1" applyBorder="1" applyAlignment="1">
      <alignment horizontal="center" vertical="center" wrapText="1"/>
    </xf>
    <xf numFmtId="179" fontId="14" fillId="0" borderId="1" xfId="0" applyNumberFormat="1" applyFont="1" applyFill="1" applyBorder="1" applyAlignment="1">
      <alignment horizontal="left" vertical="center" wrapText="1"/>
    </xf>
    <xf numFmtId="179" fontId="14" fillId="0" borderId="1" xfId="0" applyNumberFormat="1" applyFont="1" applyFill="1" applyBorder="1" applyAlignment="1">
      <alignment horizontal="center" vertical="center" wrapText="1"/>
    </xf>
    <xf numFmtId="181" fontId="14" fillId="0" borderId="1" xfId="0" applyNumberFormat="1" applyFont="1" applyFill="1" applyBorder="1" applyAlignment="1">
      <alignment horizontal="center" vertical="center" wrapText="1"/>
    </xf>
    <xf numFmtId="184" fontId="2" fillId="0" borderId="0" xfId="0" applyNumberFormat="1" applyFont="1" applyFill="1" applyAlignment="1">
      <alignment horizontal="center" vertical="center"/>
    </xf>
    <xf numFmtId="179" fontId="1" fillId="0" borderId="0" xfId="66" applyFont="1" applyFill="1" applyAlignment="1">
      <alignment vertical="center"/>
    </xf>
    <xf numFmtId="179" fontId="1" fillId="0" borderId="0" xfId="66" applyFont="1" applyFill="1" applyAlignment="1">
      <alignment horizontal="center" vertical="center"/>
    </xf>
    <xf numFmtId="179" fontId="2" fillId="0" borderId="0" xfId="67" applyNumberFormat="1" applyFont="1" applyFill="1" applyBorder="1">
      <alignment vertical="center"/>
    </xf>
    <xf numFmtId="179" fontId="2" fillId="0" borderId="0" xfId="66" applyFont="1" applyFill="1" applyAlignment="1">
      <alignment vertical="center"/>
    </xf>
    <xf numFmtId="179" fontId="1" fillId="0" borderId="5" xfId="0" applyNumberFormat="1" applyFont="1" applyFill="1" applyBorder="1" applyAlignment="1">
      <alignment horizontal="center" vertical="center"/>
    </xf>
    <xf numFmtId="179" fontId="1" fillId="0" borderId="6" xfId="0" applyNumberFormat="1" applyFont="1" applyFill="1" applyBorder="1" applyAlignment="1">
      <alignment horizontal="center" vertical="center"/>
    </xf>
    <xf numFmtId="179" fontId="1" fillId="0" borderId="7" xfId="0" applyNumberFormat="1" applyFont="1" applyFill="1" applyBorder="1" applyAlignment="1">
      <alignment horizontal="center" vertical="center"/>
    </xf>
    <xf numFmtId="179" fontId="1" fillId="0" borderId="2" xfId="0" applyNumberFormat="1" applyFont="1" applyFill="1" applyBorder="1" applyAlignment="1">
      <alignment horizontal="left" vertical="center" wrapText="1"/>
    </xf>
    <xf numFmtId="183" fontId="15" fillId="0" borderId="1" xfId="68" applyNumberFormat="1" applyFont="1" applyFill="1" applyBorder="1" applyAlignment="1" applyProtection="1">
      <alignment horizontal="center" vertical="center" wrapText="1"/>
    </xf>
    <xf numFmtId="185" fontId="16" fillId="0" borderId="1" xfId="68" applyNumberFormat="1" applyFont="1" applyFill="1" applyBorder="1" applyAlignment="1" applyProtection="1">
      <alignment horizontal="left" vertical="center" wrapText="1"/>
    </xf>
    <xf numFmtId="185" fontId="16" fillId="0" borderId="1" xfId="68" applyNumberFormat="1" applyFont="1" applyFill="1" applyBorder="1" applyAlignment="1" applyProtection="1">
      <alignment horizontal="center" vertical="center" wrapText="1"/>
    </xf>
    <xf numFmtId="181" fontId="16" fillId="0" borderId="1" xfId="68" applyNumberFormat="1" applyFont="1" applyFill="1" applyBorder="1" applyAlignment="1" applyProtection="1">
      <alignment horizontal="center" vertical="center" wrapText="1"/>
    </xf>
    <xf numFmtId="185" fontId="15" fillId="0" borderId="1" xfId="68" applyNumberFormat="1" applyFont="1" applyFill="1" applyBorder="1" applyAlignment="1" applyProtection="1">
      <alignment horizontal="center" vertical="center" wrapText="1"/>
    </xf>
    <xf numFmtId="179" fontId="1" fillId="0" borderId="3" xfId="0" applyNumberFormat="1" applyFont="1" applyFill="1" applyBorder="1" applyAlignment="1">
      <alignment horizontal="left" vertical="center" wrapText="1"/>
    </xf>
    <xf numFmtId="181" fontId="16" fillId="0" borderId="1" xfId="68" applyNumberFormat="1" applyFont="1" applyFill="1" applyBorder="1" applyAlignment="1" applyProtection="1">
      <alignment horizontal="left" vertical="center" wrapText="1"/>
    </xf>
    <xf numFmtId="185" fontId="17" fillId="0" borderId="1" xfId="68" applyNumberFormat="1" applyFont="1" applyFill="1" applyBorder="1" applyAlignment="1" applyProtection="1">
      <alignment horizontal="left" vertical="center" wrapText="1"/>
    </xf>
    <xf numFmtId="179" fontId="18" fillId="0" borderId="1" xfId="0" applyNumberFormat="1" applyFont="1" applyFill="1" applyBorder="1" applyAlignment="1">
      <alignment vertical="center"/>
    </xf>
    <xf numFmtId="186" fontId="16" fillId="0" borderId="1" xfId="68" applyNumberFormat="1" applyFont="1" applyFill="1" applyBorder="1" applyAlignment="1" applyProtection="1">
      <alignment horizontal="center" vertical="center" wrapText="1"/>
    </xf>
    <xf numFmtId="179" fontId="1" fillId="0" borderId="4" xfId="0" applyNumberFormat="1" applyFont="1" applyFill="1" applyBorder="1" applyAlignment="1">
      <alignment horizontal="left" vertical="center" wrapText="1"/>
    </xf>
    <xf numFmtId="185" fontId="4" fillId="0" borderId="1" xfId="68" applyNumberFormat="1" applyFont="1" applyFill="1" applyBorder="1" applyAlignment="1" applyProtection="1">
      <alignment horizontal="center" vertical="center" wrapText="1"/>
    </xf>
    <xf numFmtId="183" fontId="19" fillId="0" borderId="1" xfId="68" applyNumberFormat="1" applyFont="1" applyFill="1" applyBorder="1" applyAlignment="1" applyProtection="1">
      <alignment horizontal="center" vertical="center" wrapText="1"/>
    </xf>
    <xf numFmtId="179" fontId="20" fillId="0" borderId="0" xfId="66" applyFont="1" applyFill="1" applyAlignment="1">
      <alignment horizontal="left" vertical="center"/>
    </xf>
    <xf numFmtId="179" fontId="1" fillId="0" borderId="0" xfId="66" applyFont="1" applyAlignment="1">
      <alignment vertical="center"/>
    </xf>
    <xf numFmtId="179" fontId="2" fillId="0" borderId="0" xfId="66" applyFont="1" applyAlignment="1">
      <alignment vertical="center"/>
    </xf>
    <xf numFmtId="179" fontId="21" fillId="0" borderId="5" xfId="66" applyFont="1" applyBorder="1" applyAlignment="1">
      <alignment horizontal="left" vertical="center"/>
    </xf>
    <xf numFmtId="179" fontId="21" fillId="0" borderId="6" xfId="66" applyFont="1" applyBorder="1" applyAlignment="1">
      <alignment horizontal="left" vertical="center"/>
    </xf>
    <xf numFmtId="179" fontId="21" fillId="0" borderId="7" xfId="66" applyFont="1" applyBorder="1" applyAlignment="1">
      <alignment horizontal="left" vertical="center"/>
    </xf>
    <xf numFmtId="179" fontId="21" fillId="0" borderId="1" xfId="66" applyFont="1" applyBorder="1" applyAlignment="1">
      <alignment horizontal="center" vertical="center" wrapText="1"/>
    </xf>
    <xf numFmtId="179" fontId="2" fillId="0" borderId="1" xfId="0" applyNumberFormat="1" applyFont="1" applyFill="1" applyBorder="1" applyAlignment="1">
      <alignment vertical="center"/>
    </xf>
    <xf numFmtId="179" fontId="22" fillId="0" borderId="1" xfId="0" applyNumberFormat="1" applyFont="1" applyFill="1" applyBorder="1" applyAlignment="1">
      <alignment vertical="center"/>
    </xf>
    <xf numFmtId="179" fontId="23" fillId="0" borderId="1" xfId="66" applyFont="1" applyBorder="1" applyAlignment="1">
      <alignment horizontal="center" vertical="center" wrapText="1"/>
    </xf>
    <xf numFmtId="184" fontId="2" fillId="0" borderId="1" xfId="0" applyNumberFormat="1" applyFont="1" applyFill="1" applyBorder="1" applyAlignment="1">
      <alignment vertical="center"/>
    </xf>
    <xf numFmtId="179" fontId="23" fillId="0" borderId="0" xfId="66" applyFont="1" applyAlignment="1">
      <alignment horizontal="left" vertical="center"/>
    </xf>
    <xf numFmtId="179" fontId="2" fillId="0" borderId="0" xfId="59" applyNumberFormat="1" applyFont="1" applyFill="1" applyAlignment="1">
      <alignment horizontal="center" vertical="center"/>
    </xf>
    <xf numFmtId="179" fontId="16" fillId="0" borderId="0" xfId="59" applyNumberFormat="1" applyFont="1" applyFill="1" applyAlignment="1">
      <alignment vertical="center"/>
    </xf>
    <xf numFmtId="179" fontId="2" fillId="0" borderId="0" xfId="59" applyNumberFormat="1" applyFont="1" applyFill="1" applyAlignment="1">
      <alignment vertical="center"/>
    </xf>
    <xf numFmtId="179" fontId="24" fillId="0" borderId="5" xfId="66" applyFont="1" applyBorder="1" applyAlignment="1">
      <alignment horizontal="left" vertical="center"/>
    </xf>
    <xf numFmtId="179" fontId="24" fillId="0" borderId="6" xfId="66" applyFont="1" applyBorder="1" applyAlignment="1">
      <alignment horizontal="left" vertical="center"/>
    </xf>
    <xf numFmtId="179" fontId="24" fillId="0" borderId="7" xfId="66" applyFont="1" applyBorder="1" applyAlignment="1">
      <alignment horizontal="left" vertical="center"/>
    </xf>
    <xf numFmtId="179" fontId="19" fillId="0" borderId="1" xfId="0" applyNumberFormat="1" applyFont="1" applyFill="1" applyBorder="1" applyAlignment="1">
      <alignment horizontal="center" vertical="center"/>
    </xf>
    <xf numFmtId="179" fontId="19" fillId="0" borderId="1" xfId="0" applyNumberFormat="1" applyFont="1" applyFill="1" applyBorder="1" applyAlignment="1">
      <alignment horizontal="center" vertical="center" wrapText="1"/>
    </xf>
    <xf numFmtId="179" fontId="19" fillId="0" borderId="2" xfId="0" applyNumberFormat="1" applyFont="1" applyFill="1" applyBorder="1" applyAlignment="1">
      <alignment horizontal="center" vertical="center" wrapText="1"/>
    </xf>
    <xf numFmtId="179" fontId="19" fillId="0" borderId="1" xfId="66" applyFont="1" applyBorder="1" applyAlignment="1">
      <alignment horizontal="center" vertical="top" wrapText="1"/>
    </xf>
    <xf numFmtId="179" fontId="19" fillId="0" borderId="3" xfId="0" applyNumberFormat="1" applyFont="1" applyFill="1" applyBorder="1" applyAlignment="1">
      <alignment horizontal="center" vertical="center" wrapText="1"/>
    </xf>
    <xf numFmtId="179" fontId="19" fillId="0" borderId="4" xfId="0" applyNumberFormat="1" applyFont="1" applyFill="1" applyBorder="1" applyAlignment="1">
      <alignment horizontal="center" vertical="center" wrapText="1"/>
    </xf>
    <xf numFmtId="179" fontId="19" fillId="0" borderId="1" xfId="66" applyFont="1" applyBorder="1" applyAlignment="1">
      <alignment horizontal="center" vertical="center" wrapText="1"/>
    </xf>
    <xf numFmtId="179" fontId="25" fillId="0" borderId="1" xfId="66" applyFont="1" applyBorder="1" applyAlignment="1">
      <alignment horizontal="justify" vertical="center" wrapText="1"/>
    </xf>
    <xf numFmtId="179" fontId="25" fillId="0" borderId="1" xfId="66" applyFont="1" applyBorder="1" applyAlignment="1">
      <alignment horizontal="center" vertical="center" wrapText="1"/>
    </xf>
    <xf numFmtId="179" fontId="16" fillId="0" borderId="1" xfId="66" applyFont="1" applyBorder="1" applyAlignment="1">
      <alignment horizontal="center" vertical="center" wrapText="1"/>
    </xf>
    <xf numFmtId="179" fontId="16" fillId="0" borderId="1" xfId="66" applyFont="1" applyBorder="1" applyAlignment="1">
      <alignment horizontal="justify" vertical="center" wrapText="1"/>
    </xf>
    <xf numFmtId="179" fontId="16" fillId="0" borderId="1" xfId="66" applyFont="1" applyBorder="1" applyAlignment="1">
      <alignment horizontal="center" vertical="top" wrapText="1"/>
    </xf>
    <xf numFmtId="179" fontId="25" fillId="0" borderId="1" xfId="66" applyFont="1" applyBorder="1" applyAlignment="1">
      <alignment horizontal="center" vertical="top" wrapText="1"/>
    </xf>
    <xf numFmtId="179" fontId="25" fillId="0" borderId="1" xfId="66" applyFont="1" applyBorder="1" applyAlignment="1">
      <alignment horizontal="justify" vertical="top" wrapText="1"/>
    </xf>
    <xf numFmtId="179" fontId="25" fillId="0" borderId="0" xfId="66" applyFont="1" applyAlignment="1">
      <alignment horizontal="left" vertical="center"/>
    </xf>
    <xf numFmtId="0" fontId="26" fillId="2" borderId="0" xfId="0" applyFont="1" applyFill="1" applyAlignment="1">
      <alignment vertical="center"/>
    </xf>
    <xf numFmtId="0" fontId="26" fillId="0" borderId="0" xfId="0" applyFont="1" applyFill="1" applyAlignment="1">
      <alignment vertical="center"/>
    </xf>
    <xf numFmtId="0" fontId="26" fillId="3" borderId="0" xfId="0" applyFont="1" applyFill="1" applyAlignment="1">
      <alignment vertical="center"/>
    </xf>
    <xf numFmtId="0" fontId="27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left" vertical="center"/>
    </xf>
    <xf numFmtId="0" fontId="27" fillId="0" borderId="0" xfId="0" applyFont="1" applyFill="1" applyAlignment="1">
      <alignment horizontal="left" vertical="center" wrapText="1"/>
    </xf>
    <xf numFmtId="184" fontId="27" fillId="0" borderId="0" xfId="0" applyNumberFormat="1" applyFont="1" applyFill="1" applyAlignment="1">
      <alignment horizontal="center" vertical="center"/>
    </xf>
    <xf numFmtId="184" fontId="26" fillId="0" borderId="0" xfId="0" applyNumberFormat="1" applyFont="1" applyFill="1" applyAlignment="1">
      <alignment horizontal="right" vertical="center"/>
    </xf>
    <xf numFmtId="0" fontId="26" fillId="0" borderId="0" xfId="0" applyFont="1" applyFill="1" applyAlignment="1">
      <alignment horizontal="left" vertical="center"/>
    </xf>
    <xf numFmtId="0" fontId="27" fillId="0" borderId="1" xfId="0" applyFont="1" applyFill="1" applyBorder="1" applyAlignment="1">
      <alignment horizontal="center" vertical="center" textRotation="255"/>
    </xf>
    <xf numFmtId="0" fontId="27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 wrapText="1"/>
    </xf>
    <xf numFmtId="184" fontId="27" fillId="0" borderId="1" xfId="0" applyNumberFormat="1" applyFont="1" applyFill="1" applyBorder="1" applyAlignment="1">
      <alignment horizontal="center" vertical="center"/>
    </xf>
    <xf numFmtId="184" fontId="26" fillId="0" borderId="1" xfId="0" applyNumberFormat="1" applyFont="1" applyFill="1" applyBorder="1" applyAlignment="1">
      <alignment horizontal="right" vertical="center" wrapText="1"/>
    </xf>
    <xf numFmtId="9" fontId="26" fillId="0" borderId="1" xfId="3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184" fontId="26" fillId="0" borderId="1" xfId="0" applyNumberFormat="1" applyFont="1" applyFill="1" applyBorder="1" applyAlignment="1">
      <alignment horizontal="right" vertical="center"/>
    </xf>
    <xf numFmtId="0" fontId="27" fillId="0" borderId="1" xfId="0" applyFont="1" applyFill="1" applyBorder="1" applyAlignment="1">
      <alignment horizontal="left" vertical="center" wrapText="1"/>
    </xf>
    <xf numFmtId="0" fontId="26" fillId="0" borderId="1" xfId="0" applyFont="1" applyFill="1" applyBorder="1" applyAlignment="1">
      <alignment horizontal="left" vertical="center" wrapText="1"/>
    </xf>
    <xf numFmtId="0" fontId="28" fillId="0" borderId="1" xfId="0" applyFont="1" applyFill="1" applyBorder="1" applyAlignment="1">
      <alignment horizontal="center" vertical="center"/>
    </xf>
    <xf numFmtId="9" fontId="26" fillId="0" borderId="1" xfId="3" applyNumberFormat="1" applyFont="1" applyFill="1" applyBorder="1" applyAlignment="1">
      <alignment horizontal="center" vertical="center" wrapText="1"/>
    </xf>
    <xf numFmtId="0" fontId="27" fillId="2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left" vertical="center" wrapText="1"/>
    </xf>
    <xf numFmtId="0" fontId="27" fillId="2" borderId="1" xfId="0" applyNumberFormat="1" applyFont="1" applyFill="1" applyBorder="1" applyAlignment="1">
      <alignment horizontal="center" vertical="center" shrinkToFit="1"/>
    </xf>
    <xf numFmtId="184" fontId="27" fillId="2" borderId="1" xfId="0" applyNumberFormat="1" applyFont="1" applyFill="1" applyBorder="1" applyAlignment="1">
      <alignment horizontal="center" vertical="center"/>
    </xf>
    <xf numFmtId="184" fontId="26" fillId="2" borderId="1" xfId="0" applyNumberFormat="1" applyFont="1" applyFill="1" applyBorder="1" applyAlignment="1">
      <alignment horizontal="right" vertical="center" wrapText="1"/>
    </xf>
    <xf numFmtId="9" fontId="26" fillId="2" borderId="1" xfId="3" applyNumberFormat="1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left" vertical="center" wrapText="1"/>
    </xf>
    <xf numFmtId="0" fontId="26" fillId="2" borderId="0" xfId="0" applyFont="1" applyFill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 readingOrder="1"/>
    </xf>
    <xf numFmtId="0" fontId="28" fillId="0" borderId="1" xfId="0" applyFont="1" applyFill="1" applyBorder="1" applyAlignment="1">
      <alignment horizontal="center" vertical="center" wrapText="1" readingOrder="1"/>
    </xf>
    <xf numFmtId="184" fontId="26" fillId="3" borderId="1" xfId="0" applyNumberFormat="1" applyFont="1" applyFill="1" applyBorder="1" applyAlignment="1">
      <alignment horizontal="right" vertical="center" wrapText="1"/>
    </xf>
    <xf numFmtId="0" fontId="28" fillId="2" borderId="1" xfId="0" applyFont="1" applyFill="1" applyBorder="1" applyAlignment="1">
      <alignment horizontal="center" vertical="center" wrapText="1" readingOrder="1"/>
    </xf>
    <xf numFmtId="9" fontId="26" fillId="2" borderId="1" xfId="3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left" vertical="center" wrapText="1"/>
    </xf>
    <xf numFmtId="0" fontId="29" fillId="0" borderId="1" xfId="0" applyFont="1" applyFill="1" applyBorder="1" applyAlignment="1">
      <alignment horizontal="left" vertical="center" wrapText="1"/>
    </xf>
    <xf numFmtId="184" fontId="29" fillId="0" borderId="1" xfId="0" applyNumberFormat="1" applyFont="1" applyFill="1" applyBorder="1" applyAlignment="1">
      <alignment horizontal="center" vertical="center"/>
    </xf>
    <xf numFmtId="0" fontId="27" fillId="0" borderId="1" xfId="0" applyNumberFormat="1" applyFont="1" applyFill="1" applyBorder="1" applyAlignment="1">
      <alignment horizontal="center" vertical="center" shrinkToFit="1"/>
    </xf>
    <xf numFmtId="0" fontId="27" fillId="0" borderId="1" xfId="0" applyFont="1" applyFill="1" applyBorder="1" applyAlignment="1">
      <alignment horizontal="left" vertical="center"/>
    </xf>
    <xf numFmtId="0" fontId="27" fillId="2" borderId="1" xfId="0" applyFont="1" applyFill="1" applyBorder="1" applyAlignment="1">
      <alignment horizontal="left" vertical="center"/>
    </xf>
    <xf numFmtId="184" fontId="29" fillId="2" borderId="1" xfId="0" applyNumberFormat="1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left" vertical="center"/>
    </xf>
    <xf numFmtId="0" fontId="29" fillId="0" borderId="1" xfId="0" applyFont="1" applyFill="1" applyBorder="1" applyAlignment="1">
      <alignment horizontal="center" vertical="center"/>
    </xf>
    <xf numFmtId="0" fontId="27" fillId="0" borderId="1" xfId="64" applyFont="1" applyFill="1" applyBorder="1" applyAlignment="1">
      <alignment horizontal="left" vertical="center"/>
    </xf>
    <xf numFmtId="0" fontId="27" fillId="0" borderId="1" xfId="64" applyFont="1" applyFill="1" applyBorder="1" applyAlignment="1">
      <alignment horizontal="left" vertical="center" wrapText="1"/>
    </xf>
    <xf numFmtId="0" fontId="28" fillId="0" borderId="1" xfId="64" applyFont="1" applyFill="1" applyBorder="1" applyAlignment="1">
      <alignment horizontal="left" vertical="center"/>
    </xf>
    <xf numFmtId="0" fontId="30" fillId="0" borderId="1" xfId="0" applyFont="1" applyFill="1" applyBorder="1" applyAlignment="1">
      <alignment horizontal="left" vertical="center" wrapText="1"/>
    </xf>
    <xf numFmtId="0" fontId="27" fillId="2" borderId="1" xfId="64" applyFont="1" applyFill="1" applyBorder="1" applyAlignment="1">
      <alignment horizontal="left" vertical="center"/>
    </xf>
    <xf numFmtId="49" fontId="27" fillId="0" borderId="1" xfId="0" applyNumberFormat="1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vertical="center"/>
    </xf>
    <xf numFmtId="0" fontId="26" fillId="0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>
      <alignment horizontal="left" vertical="center"/>
    </xf>
    <xf numFmtId="0" fontId="28" fillId="0" borderId="1" xfId="0" applyNumberFormat="1" applyFont="1" applyFill="1" applyBorder="1" applyAlignment="1">
      <alignment horizontal="center" vertical="center" shrinkToFit="1"/>
    </xf>
    <xf numFmtId="0" fontId="27" fillId="0" borderId="1" xfId="0" applyNumberFormat="1" applyFont="1" applyFill="1" applyBorder="1" applyAlignment="1">
      <alignment horizontal="center" vertical="center"/>
    </xf>
    <xf numFmtId="0" fontId="27" fillId="3" borderId="1" xfId="0" applyFont="1" applyFill="1" applyBorder="1" applyAlignment="1">
      <alignment horizontal="center" vertical="center"/>
    </xf>
    <xf numFmtId="0" fontId="29" fillId="3" borderId="1" xfId="0" applyFont="1" applyFill="1" applyBorder="1" applyAlignment="1">
      <alignment horizontal="left" vertical="center"/>
    </xf>
    <xf numFmtId="0" fontId="27" fillId="3" borderId="1" xfId="0" applyFont="1" applyFill="1" applyBorder="1" applyAlignment="1">
      <alignment horizontal="left" vertical="center" wrapText="1"/>
    </xf>
    <xf numFmtId="0" fontId="27" fillId="3" borderId="1" xfId="0" applyNumberFormat="1" applyFont="1" applyFill="1" applyBorder="1" applyAlignment="1">
      <alignment horizontal="center" vertical="center" shrinkToFit="1"/>
    </xf>
    <xf numFmtId="0" fontId="27" fillId="3" borderId="1" xfId="0" applyNumberFormat="1" applyFont="1" applyFill="1" applyBorder="1" applyAlignment="1">
      <alignment horizontal="center" vertical="center"/>
    </xf>
    <xf numFmtId="184" fontId="27" fillId="3" borderId="1" xfId="0" applyNumberFormat="1" applyFont="1" applyFill="1" applyBorder="1" applyAlignment="1">
      <alignment horizontal="center" vertical="center"/>
    </xf>
    <xf numFmtId="0" fontId="26" fillId="3" borderId="1" xfId="0" applyFont="1" applyFill="1" applyBorder="1" applyAlignment="1">
      <alignment vertical="center"/>
    </xf>
    <xf numFmtId="0" fontId="26" fillId="3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vertical="center"/>
    </xf>
    <xf numFmtId="0" fontId="26" fillId="2" borderId="1" xfId="0" applyFont="1" applyFill="1" applyBorder="1" applyAlignment="1">
      <alignment horizontal="left" vertical="center"/>
    </xf>
    <xf numFmtId="0" fontId="28" fillId="0" borderId="1" xfId="0" applyFont="1" applyFill="1" applyBorder="1" applyAlignment="1" applyProtection="1">
      <alignment horizontal="left" vertical="center" wrapText="1"/>
      <protection locked="0"/>
    </xf>
    <xf numFmtId="0" fontId="27" fillId="0" borderId="1" xfId="0" applyFont="1" applyFill="1" applyBorder="1" applyAlignment="1" applyProtection="1">
      <alignment horizontal="left" vertical="center" wrapText="1"/>
      <protection locked="0"/>
    </xf>
    <xf numFmtId="0" fontId="27" fillId="0" borderId="1" xfId="0" applyFont="1" applyFill="1" applyBorder="1" applyAlignment="1" applyProtection="1">
      <alignment horizontal="center" vertical="center" wrapText="1"/>
      <protection locked="0"/>
    </xf>
    <xf numFmtId="0" fontId="28" fillId="2" borderId="1" xfId="0" applyFont="1" applyFill="1" applyBorder="1" applyAlignment="1" applyProtection="1">
      <alignment horizontal="left" vertical="center" wrapText="1"/>
      <protection locked="0"/>
    </xf>
    <xf numFmtId="184" fontId="27" fillId="2" borderId="1" xfId="0" applyNumberFormat="1" applyFont="1" applyFill="1" applyBorder="1" applyAlignment="1" applyProtection="1">
      <alignment horizontal="center" vertical="center" wrapText="1"/>
      <protection locked="0"/>
    </xf>
    <xf numFmtId="0" fontId="26" fillId="2" borderId="1" xfId="0" applyNumberFormat="1" applyFont="1" applyFill="1" applyBorder="1" applyAlignment="1">
      <alignment horizontal="left" vertical="center" wrapText="1"/>
    </xf>
    <xf numFmtId="0" fontId="27" fillId="0" borderId="1" xfId="63" applyFont="1" applyFill="1" applyBorder="1" applyAlignment="1">
      <alignment horizontal="left" vertical="center" wrapText="1"/>
    </xf>
    <xf numFmtId="49" fontId="27" fillId="3" borderId="1" xfId="0" applyNumberFormat="1" applyFont="1" applyFill="1" applyBorder="1" applyAlignment="1">
      <alignment horizontal="center" vertical="center"/>
    </xf>
    <xf numFmtId="184" fontId="27" fillId="3" borderId="1" xfId="0" applyNumberFormat="1" applyFont="1" applyFill="1" applyBorder="1" applyAlignment="1">
      <alignment horizontal="center" vertical="center" shrinkToFit="1"/>
    </xf>
    <xf numFmtId="184" fontId="27" fillId="0" borderId="1" xfId="0" applyNumberFormat="1" applyFont="1" applyFill="1" applyBorder="1" applyAlignment="1">
      <alignment horizontal="center" vertical="center" shrinkToFit="1"/>
    </xf>
    <xf numFmtId="49" fontId="27" fillId="2" borderId="1" xfId="0" applyNumberFormat="1" applyFont="1" applyFill="1" applyBorder="1" applyAlignment="1">
      <alignment horizontal="center" vertical="center"/>
    </xf>
    <xf numFmtId="0" fontId="28" fillId="2" borderId="1" xfId="0" applyNumberFormat="1" applyFont="1" applyFill="1" applyBorder="1" applyAlignment="1">
      <alignment horizontal="center" vertical="center" shrinkToFit="1"/>
    </xf>
    <xf numFmtId="2" fontId="26" fillId="0" borderId="1" xfId="0" applyNumberFormat="1" applyFont="1" applyFill="1" applyBorder="1" applyAlignment="1">
      <alignment horizontal="left" vertical="center" wrapText="1"/>
    </xf>
    <xf numFmtId="184" fontId="27" fillId="0" borderId="1" xfId="0" applyNumberFormat="1" applyFont="1" applyFill="1" applyBorder="1" applyAlignment="1">
      <alignment horizontal="center" vertical="center" wrapText="1"/>
    </xf>
    <xf numFmtId="0" fontId="27" fillId="0" borderId="1" xfId="61" applyFont="1" applyFill="1" applyBorder="1" applyAlignment="1">
      <alignment horizontal="left" vertical="center" wrapText="1"/>
    </xf>
    <xf numFmtId="0" fontId="27" fillId="0" borderId="1" xfId="61" applyFont="1" applyFill="1" applyBorder="1" applyAlignment="1">
      <alignment horizontal="center" vertical="center" wrapText="1"/>
    </xf>
    <xf numFmtId="184" fontId="27" fillId="0" borderId="1" xfId="61" applyNumberFormat="1" applyFont="1" applyFill="1" applyBorder="1" applyAlignment="1">
      <alignment horizontal="center" vertical="center" wrapText="1"/>
    </xf>
    <xf numFmtId="0" fontId="28" fillId="0" borderId="1" xfId="61" applyFont="1" applyFill="1" applyBorder="1" applyAlignment="1">
      <alignment horizontal="left" vertical="center" wrapText="1"/>
    </xf>
    <xf numFmtId="0" fontId="31" fillId="0" borderId="1" xfId="0" applyFont="1" applyFill="1" applyBorder="1" applyAlignment="1">
      <alignment horizontal="left" vertical="center" wrapText="1"/>
    </xf>
    <xf numFmtId="49" fontId="27" fillId="0" borderId="1" xfId="0" applyNumberFormat="1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7" fillId="0" borderId="1" xfId="0" applyFont="1" applyFill="1" applyBorder="1">
      <alignment vertical="center"/>
    </xf>
    <xf numFmtId="0" fontId="28" fillId="0" borderId="1" xfId="64" applyFont="1" applyFill="1" applyBorder="1" applyAlignment="1">
      <alignment horizontal="left" vertical="center" wrapText="1"/>
    </xf>
    <xf numFmtId="184" fontId="27" fillId="0" borderId="1" xfId="0" applyNumberFormat="1" applyFont="1" applyFill="1" applyBorder="1" applyAlignment="1">
      <alignment horizontal="right" vertical="center"/>
    </xf>
    <xf numFmtId="183" fontId="27" fillId="0" borderId="1" xfId="0" applyNumberFormat="1" applyFont="1" applyFill="1" applyBorder="1" applyAlignment="1">
      <alignment horizontal="center" vertical="center" wrapText="1"/>
    </xf>
    <xf numFmtId="181" fontId="26" fillId="0" borderId="1" xfId="0" applyNumberFormat="1" applyFont="1" applyFill="1" applyBorder="1" applyAlignment="1">
      <alignment horizontal="right" vertical="center"/>
    </xf>
    <xf numFmtId="0" fontId="32" fillId="0" borderId="0" xfId="0" applyFont="1">
      <alignment vertical="center"/>
    </xf>
    <xf numFmtId="0" fontId="33" fillId="0" borderId="0" xfId="0" applyFont="1" applyBorder="1" applyAlignment="1">
      <alignment horizontal="center" vertical="center"/>
    </xf>
    <xf numFmtId="0" fontId="34" fillId="0" borderId="1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 wrapText="1"/>
    </xf>
    <xf numFmtId="0" fontId="36" fillId="0" borderId="0" xfId="0" applyFont="1" applyAlignment="1">
      <alignment vertical="center"/>
    </xf>
    <xf numFmtId="0" fontId="34" fillId="0" borderId="2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left" vertical="center" wrapText="1"/>
    </xf>
    <xf numFmtId="181" fontId="34" fillId="0" borderId="1" xfId="0" applyNumberFormat="1" applyFont="1" applyBorder="1" applyAlignment="1">
      <alignment horizontal="center" vertical="center" wrapText="1"/>
    </xf>
    <xf numFmtId="0" fontId="34" fillId="0" borderId="2" xfId="0" applyFont="1" applyBorder="1" applyAlignment="1">
      <alignment horizontal="left" vertical="center" wrapText="1"/>
    </xf>
    <xf numFmtId="0" fontId="34" fillId="0" borderId="1" xfId="0" applyFont="1" applyBorder="1" applyAlignment="1">
      <alignment horizontal="justify" vertical="center" wrapText="1"/>
    </xf>
    <xf numFmtId="0" fontId="34" fillId="0" borderId="3" xfId="0" applyFont="1" applyBorder="1" applyAlignment="1">
      <alignment horizontal="center" vertical="center" wrapText="1"/>
    </xf>
    <xf numFmtId="0" fontId="34" fillId="0" borderId="3" xfId="0" applyFont="1" applyBorder="1" applyAlignment="1">
      <alignment horizontal="left" vertical="center" wrapText="1"/>
    </xf>
    <xf numFmtId="0" fontId="35" fillId="0" borderId="1" xfId="0" applyFont="1" applyBorder="1" applyAlignment="1">
      <alignment horizontal="left" vertical="center" wrapText="1"/>
    </xf>
    <xf numFmtId="0" fontId="34" fillId="0" borderId="4" xfId="0" applyFont="1" applyBorder="1" applyAlignment="1">
      <alignment horizontal="center" vertical="center" wrapText="1"/>
    </xf>
    <xf numFmtId="0" fontId="34" fillId="0" borderId="4" xfId="0" applyFont="1" applyBorder="1" applyAlignment="1">
      <alignment horizontal="left" vertical="center" wrapText="1"/>
    </xf>
    <xf numFmtId="0" fontId="37" fillId="0" borderId="1" xfId="0" applyFont="1" applyBorder="1" applyAlignment="1">
      <alignment horizontal="center" vertical="center" wrapText="1"/>
    </xf>
    <xf numFmtId="181" fontId="0" fillId="0" borderId="0" xfId="0" applyNumberFormat="1">
      <alignment vertical="center"/>
    </xf>
    <xf numFmtId="179" fontId="38" fillId="0" borderId="0" xfId="0" applyNumberFormat="1" applyFont="1" applyFill="1" applyAlignment="1">
      <alignment horizontal="right" vertical="center"/>
    </xf>
    <xf numFmtId="187" fontId="39" fillId="0" borderId="0" xfId="0" applyNumberFormat="1" applyFont="1" applyFill="1" applyAlignment="1">
      <alignment horizontal="center" vertical="center"/>
    </xf>
    <xf numFmtId="179" fontId="38" fillId="0" borderId="0" xfId="0" applyNumberFormat="1" applyFont="1" applyFill="1" applyAlignment="1">
      <alignment vertical="center"/>
    </xf>
    <xf numFmtId="181" fontId="38" fillId="0" borderId="0" xfId="67" applyNumberFormat="1" applyFont="1" applyFill="1" applyBorder="1">
      <alignment vertical="center"/>
    </xf>
    <xf numFmtId="181" fontId="2" fillId="0" borderId="0" xfId="67" applyNumberFormat="1" applyFont="1" applyFill="1" applyBorder="1">
      <alignment vertical="center"/>
    </xf>
    <xf numFmtId="179" fontId="38" fillId="0" borderId="0" xfId="67" applyNumberFormat="1" applyFont="1" applyFill="1" applyBorder="1">
      <alignment vertical="center"/>
    </xf>
    <xf numFmtId="184" fontId="2" fillId="0" borderId="0" xfId="67" applyNumberFormat="1" applyFont="1" applyFill="1" applyBorder="1">
      <alignment vertical="center"/>
    </xf>
    <xf numFmtId="179" fontId="40" fillId="0" borderId="0" xfId="67" applyNumberFormat="1" applyFont="1" applyFill="1" applyBorder="1" applyAlignment="1">
      <alignment horizontal="left" vertical="center"/>
    </xf>
  </cellXfs>
  <cellStyles count="7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_总表123 " xfId="49"/>
    <cellStyle name="Hyperlink" xfId="50"/>
    <cellStyle name="Currency [0]_ SG&amp;A Bridge " xfId="51"/>
    <cellStyle name=" 1" xfId="52"/>
    <cellStyle name="_综合表123 " xfId="53"/>
    <cellStyle name="Comma [0]_ SG&amp;A Bridge " xfId="54"/>
    <cellStyle name="Comma_ SG&amp;A Bridge " xfId="55"/>
    <cellStyle name="Currency_ SG&amp;A Bridge " xfId="56"/>
    <cellStyle name="Currency1" xfId="57"/>
    <cellStyle name="Normal_ SG&amp;A Bridge " xfId="58"/>
    <cellStyle name="常规 2" xfId="59"/>
    <cellStyle name="표준_0N-HANDLING " xfId="60"/>
    <cellStyle name="常规 3" xfId="61"/>
    <cellStyle name="普通_PLC系统" xfId="62"/>
    <cellStyle name="常规 2 3" xfId="63"/>
    <cellStyle name="常规 36" xfId="64"/>
    <cellStyle name="常规_概算1-1" xfId="65"/>
    <cellStyle name="工程费用名称2 8 3 2 2" xfId="66"/>
    <cellStyle name="输出 12 2 3 10 2" xfId="67"/>
    <cellStyle name="工程费用名称2 8 3 2" xfId="68"/>
    <cellStyle name="40% - 强调文字颜色 2 39" xfId="69"/>
    <cellStyle name="常规 13" xfId="70"/>
  </cellStyles>
  <dxfs count="7">
    <dxf>
      <numFmt numFmtId="180" formatCode="0&quot;.&quot;0,&quot;万元&quot;"/>
    </dxf>
    <dxf>
      <numFmt numFmtId="180" formatCode="0&quot;.&quot;0,&quot;万元&quot;"/>
    </dxf>
    <dxf>
      <numFmt numFmtId="180" formatCode="0&quot;.&quot;0,&quot;万元&quot;"/>
    </dxf>
    <dxf>
      <alignment horizontal="center"/>
    </dxf>
    <dxf>
      <alignment horizontal="center"/>
    </dxf>
    <dxf>
      <alignment wrapText="1"/>
    </dxf>
    <dxf>
      <alignment wrapText="1"/>
    </dxf>
  </dxfs>
  <tableStyles count="0" defaultTableStyle="TableStyleMedium9" defaultPivotStyle="PivotStyleLight16"/>
  <colors>
    <mruColors>
      <color rgb="00000000"/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externalLink" Target="externalLinks/externalLink9.xml"/><Relationship Id="rId18" Type="http://schemas.openxmlformats.org/officeDocument/2006/relationships/externalLink" Target="externalLinks/externalLink8.xml"/><Relationship Id="rId17" Type="http://schemas.openxmlformats.org/officeDocument/2006/relationships/externalLink" Target="externalLinks/externalLink7.xml"/><Relationship Id="rId16" Type="http://schemas.openxmlformats.org/officeDocument/2006/relationships/externalLink" Target="externalLinks/externalLink6.xml"/><Relationship Id="rId15" Type="http://schemas.openxmlformats.org/officeDocument/2006/relationships/externalLink" Target="externalLinks/externalLink5.xml"/><Relationship Id="rId14" Type="http://schemas.openxmlformats.org/officeDocument/2006/relationships/externalLink" Target="externalLinks/externalLink4.xml"/><Relationship Id="rId13" Type="http://schemas.openxmlformats.org/officeDocument/2006/relationships/externalLink" Target="externalLinks/externalLink3.xml"/><Relationship Id="rId12" Type="http://schemas.openxmlformats.org/officeDocument/2006/relationships/externalLink" Target="externalLinks/externalLink2.xml"/><Relationship Id="rId11" Type="http://schemas.openxmlformats.org/officeDocument/2006/relationships/externalLink" Target="externalLinks/externalLink1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S01\jhc\unzipped\Eastern%20Airline%20FE\Spares\FILES\SMCTS2\SMCTSSP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CCTEC\&#20998;&#21253;&#32467;&#31639;\&#36830;&#38136;&#32467;&#31639;\&#32599;&#28304;&#38397;&#20809;2#&#19971;&#27969;&#26041;&#22383;20241224\&#20013;&#20918;&#21335;&#26041;&#36830;&#38136;&#32599;&#28304;&#38397;&#20809;2#&#19971;&#26426;&#19971;&#27969;&#26041;&#22383;&#36830;&#38136;&#26426;&#24037;&#31243;(MLM0223J0)&#26045;&#24037;&#20998;&#21253;&#32467;&#31639;-&#27754;&#38647;&#23457;-20250218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24037;&#31243;&#25991;&#20214;&#65288;090918)\&#26412;&#38050;&#65288;0906&#65289;\&#20919;&#36711;&#30789;&#38050;&#20844;&#36741;(0905)\&#26816;&#39564;&#27004;&#26041;&#26696;\WINDOWS\TEMP\instca22.m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2020&#24180;&#39640;&#38454;&#27573;\&#22826;&#34892;&#20108;&#26399;&#20919;&#36711;&#25253;&#20215;\&#22826;&#34892;&#20108;&#26399;&#20919;&#36711;&#25253;&#20215;\&#24037;&#31243;&#32463;&#27982;\ok&#20919;&#36711;--&#21016;&#40511;&#26149;\&#22826;&#34892;&#20108;&#26399;&#37240;&#38208;&#26426;&#32452;-&#28082;&#21387;&#31995;&#32479;&#35774;&#22791;&#37197;&#32622;&#28165;&#21333;-&#25253;&#20215;&#27169;&#26495;-20201125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9640;&#38454;&#27573;\&#26412;&#38050;\&#26412;&#38050;&#22235;&#20919;&#35268;&#21010;\&#26412;&#38050;&#22235;&#20919;1550mm&#35268;&#21010;\&#24037;&#31243;&#32463;&#27982;\My%20Documents\&#24191;&#19996;\&#19981;&#38152;&#38050;&#24037;&#31243;\&#32852;&#20247;&#19981;&#38152;&#38050;\&#24191;&#24030;&#32852;&#20247;&#19981;&#38152;&#38050;&#25237;&#36164;&#20272;&#31639;(&#31532;&#20108;&#29256;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&#39640;&#38454;&#27573;\&#26412;&#38050;\&#26412;&#38050;&#22235;&#20919;&#35268;&#21010;\&#26412;&#38050;&#22235;&#20919;1550mm&#35268;&#21010;\&#24037;&#31243;&#32463;&#27982;\Documents%20and%20Settings\qw.WISDRISH\My%20Documents\&#25105;&#25509;&#25910;&#21040;&#30340;&#25991;&#20214;\&#38050;&#31563;&#35745;&#31639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2658\Documents\WXWork\1688857032373741\Cache\File\2025-10\RecoveredExternalLink1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2658\Documents\WXWork\1688857032373741\Cache\File\2025-10\RecoveredExternalLink2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&#39640;&#38454;&#27573;\&#26412;&#38050;\&#26412;&#38050;&#22235;&#20919;&#35268;&#21010;\&#26412;&#38050;&#22235;&#20919;1550mm&#35268;&#21010;\&#24037;&#31243;&#32463;&#27982;\Documents%20and%20Settings\qw.WISDRISH\My%20Documents\&#25105;&#25509;&#25910;&#21040;&#30340;&#25991;&#20214;\&#38050;&#31563;&#35745;&#31639;&#34920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eqpmad2"/>
      <sheetName val="Configuration"/>
      <sheetName val="泵站各参数表"/>
      <sheetName val="阀组分档-基本数据源"/>
      <sheetName val="定额基价"/>
      <sheetName val="SW-TEO"/>
      <sheetName val="有效性"/>
      <sheetName val="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合同部分"/>
      <sheetName val="变更签证"/>
      <sheetName val="合同外"/>
      <sheetName val="扣供应商金额"/>
      <sheetName val="原合同清单"/>
      <sheetName val="栏杆"/>
      <sheetName val="平台铺板"/>
      <sheetName val="风管"/>
      <sheetName val="通风"/>
      <sheetName val="本体水"/>
      <sheetName val="能介"/>
      <sheetName val="液压"/>
      <sheetName val="润滑"/>
      <sheetName val="气动"/>
      <sheetName val="电气"/>
      <sheetName val="仪表"/>
      <sheetName val="照明"/>
      <sheetName val="铸机盖板"/>
      <sheetName val="004、005"/>
      <sheetName val="水系统CCS31a90.1"/>
      <sheetName val="能介CCS31a90.2"/>
      <sheetName val="液压GES31a90.1"/>
      <sheetName val="润滑GFS31a90.1"/>
      <sheetName val="小房子照明EDU31.2 "/>
      <sheetName val="仪表EEU31a.1"/>
      <sheetName val="电气EDU31a.1 "/>
      <sheetName val="泵站各参数表"/>
      <sheetName val="阀组分档-基本数据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onfiguration"/>
      <sheetName val="CC-Vannes"/>
      <sheetName val="Price Base"/>
      <sheetName val="Instrument table"/>
      <sheetName val="Cable table"/>
      <sheetName val="Cable trays table"/>
      <sheetName val="Scope"/>
      <sheetName val="Price summary"/>
      <sheetName val="I_O Summary"/>
      <sheetName val="Spares"/>
      <sheetName val="Start tools"/>
      <sheetName val="Specific"/>
      <sheetName val="单位库"/>
      <sheetName val="泵站各参数表"/>
      <sheetName val="阀组分档-基本数据源"/>
      <sheetName val="钢筋"/>
      <sheetName val="参数表"/>
      <sheetName val="定额基价"/>
      <sheetName val="PI"/>
      <sheetName val="XLR_NoRangeSheet"/>
      <sheetName val="BEND 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入口液压系统"/>
      <sheetName val="阀组分档-基本数据源"/>
      <sheetName val="入口阀台材料表"/>
      <sheetName val="入口阀台透视表"/>
      <sheetName val="入口阀台材料表整合-过渡"/>
      <sheetName val="泵站各参数表"/>
      <sheetName val="参数表"/>
      <sheetName val="Configuration"/>
      <sheetName val="定额基价"/>
      <sheetName val="POL6차-PIPING"/>
      <sheetName val="PI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简单汇总"/>
      <sheetName val="总估算"/>
      <sheetName val="综合估算"/>
      <sheetName val="公辅(综估一期)"/>
      <sheetName val="炼钢(综)"/>
      <sheetName val="连铸(综)"/>
      <sheetName val="热轧(综)"/>
      <sheetName val="冷轧(综)"/>
      <sheetName val="公辅(综)"/>
      <sheetName val="土建"/>
      <sheetName val="炼钢"/>
      <sheetName val="连铸"/>
      <sheetName val="热轧"/>
      <sheetName val="冷轧"/>
      <sheetName val="仪表"/>
      <sheetName val="电讯"/>
      <sheetName val="燃气"/>
      <sheetName val="热力"/>
      <sheetName val="水道"/>
      <sheetName val="通风"/>
      <sheetName val="机械化"/>
      <sheetName val="机修"/>
      <sheetName val="检验"/>
      <sheetName val="电气"/>
      <sheetName val="电力"/>
      <sheetName val="总图"/>
      <sheetName val="Calculs"/>
      <sheetName val="表三"/>
      <sheetName val="钢筋"/>
      <sheetName val="Configuration"/>
      <sheetName val="定额基价"/>
      <sheetName val="PI"/>
      <sheetName val="泵站各参数表"/>
      <sheetName val="阀组分档-基本数据源"/>
      <sheetName val="BEND LOS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定额基价"/>
      <sheetName val="XLR_NoRangeSheet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参数表"/>
      <sheetName val="简单汇总"/>
      <sheetName val="总估算"/>
      <sheetName val="综合估算"/>
      <sheetName val="公辅(综估一期)"/>
      <sheetName val="炼钢(综)"/>
      <sheetName val="连铸(综)"/>
      <sheetName val="热轧(综)"/>
      <sheetName val="冷轧(综)"/>
      <sheetName val="公辅(综)"/>
      <sheetName val="土建"/>
      <sheetName val="炼钢"/>
      <sheetName val="连铸"/>
      <sheetName val="热轧"/>
      <sheetName val="冷轧"/>
      <sheetName val="仪表"/>
      <sheetName val="电讯"/>
      <sheetName val="燃气"/>
      <sheetName val="热力"/>
      <sheetName val="水道"/>
      <sheetName val="通风"/>
      <sheetName val="机械化"/>
      <sheetName val="机修"/>
      <sheetName val="检验"/>
      <sheetName val="电气"/>
      <sheetName val="电力"/>
      <sheetName val="总图"/>
      <sheetName val="Calculs"/>
      <sheetName val="表三"/>
      <sheetName val="钢筋"/>
      <sheetName val="Configuration"/>
      <sheetName val="单位"/>
      <sheetName val="PI"/>
      <sheetName val="定额基价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单位"/>
      <sheetName val="定额基价"/>
      <sheetName val="BEND LOSS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钢筋"/>
      <sheetName val="钢筋计算表"/>
      <sheetName val="通风"/>
      <sheetName val="用汇"/>
      <sheetName val="热力"/>
      <sheetName val="电讯"/>
      <sheetName val="电气"/>
      <sheetName val="包装线初设"/>
      <sheetName val="土公辅标"/>
      <sheetName val="燃气"/>
      <sheetName val="引进分表"/>
      <sheetName val="给排水"/>
      <sheetName val="#REF"/>
      <sheetName val="参数表"/>
      <sheetName val="Configuration"/>
      <sheetName val="定额基价"/>
      <sheetName val="XLR_NoRangeSheet"/>
      <sheetName val="水系统CCS31a90.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30.5138078704" refreshedBy="Administrator" recordCount="444">
  <cacheSource type="worksheet">
    <worksheetSource ref="A1:P445" sheet="Sheet1"/>
  </cacheSource>
  <cacheFields count="16">
    <cacheField name="流水号" numFmtId="0">
      <sharedItems containsSemiMixedTypes="0" containsString="0" containsNumber="1" containsInteger="1" minValue="0" maxValue="443" count="444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</sharedItems>
    </cacheField>
    <cacheField name="序号" numFmtId="0">
      <sharedItems containsNumber="1" containsMixedTypes="1" count="439">
        <n v="1"/>
        <n v="1.1"/>
        <s v="1.1.1"/>
        <s v="1.1.2"/>
        <s v="1.1.3"/>
        <s v="1.1.4"/>
        <s v="1.1.5"/>
        <s v="1.1.6"/>
        <s v="1.1.7"/>
        <s v="1.1.8"/>
        <s v="1.1.9"/>
        <s v="1.1.10"/>
        <s v="1.1.11"/>
        <s v="1.1.12"/>
        <s v="1.1.13"/>
        <s v="1.1.14"/>
        <n v="1.2"/>
        <s v="1.2.1"/>
        <s v="1.2.2"/>
        <s v="1.2.3"/>
        <s v="1.2.4"/>
        <s v="1.2.5"/>
        <s v="1.2.6"/>
        <s v="1.2.7"/>
        <n v="1.3"/>
        <s v="1.3.1"/>
        <s v="1.3.2"/>
        <s v="1.3.3"/>
        <s v="1.3.4"/>
        <n v="1.4"/>
        <s v="1.4.1"/>
        <s v="1.4.2"/>
        <s v="1.4.3"/>
        <s v="1.4.4"/>
        <n v="1.5"/>
        <s v="1.5.1"/>
        <s v="1.5.2"/>
        <s v="1.5.3"/>
        <s v="1.5.4"/>
        <n v="1.6"/>
        <s v="1.6.1"/>
        <s v="1.6.2"/>
        <s v="1.6.3"/>
        <n v="1.7"/>
        <s v="1.7.1"/>
        <s v="1.7.2"/>
        <s v="1.7.3"/>
        <s v="1.7.4"/>
        <s v="1.7.5"/>
        <s v="1.7.6"/>
        <s v="1.7.7"/>
        <s v="1.7.8"/>
        <s v="1.7.9"/>
        <s v="1.7.10"/>
        <s v="1.7.11"/>
        <s v="1.7.12"/>
        <s v="1.7.13"/>
        <s v="1.7.14"/>
        <s v="1.7.15"/>
        <s v="1.7.16"/>
        <s v="1.7.17"/>
        <n v="1.8"/>
        <s v="1.8.1"/>
        <s v="1.8.2"/>
        <s v="1.8.3"/>
        <n v="2"/>
        <s v="*2.1"/>
        <s v="*2.1.1"/>
        <s v="*2.1.2"/>
        <s v="*2.1.3"/>
        <s v="*2.1.4"/>
        <s v="*2.1.5"/>
        <s v="*2.1.6"/>
        <s v="*2.1.7"/>
        <s v="*2.1.8"/>
        <s v="*2.1.9"/>
        <s v="*2.1.10"/>
        <s v="*2.1.11"/>
        <s v="*2.1.12"/>
        <s v="*2.1.13"/>
        <s v="*2.1.14"/>
        <s v="*2.1.15"/>
        <s v="*2.1.16"/>
        <s v="*2.1.17"/>
        <s v="*2.1.18"/>
        <s v="*2.1.19"/>
        <s v="*2.1.20"/>
        <s v="*2.1.21"/>
        <s v="*2.1.22"/>
        <s v="*2.1.23"/>
        <s v="*2.1.24"/>
        <s v="*2.1.25"/>
        <s v="*2.1.26"/>
        <s v="*2.1.27"/>
        <s v="*2.1.28"/>
        <s v="*2.1.29"/>
        <s v="*2.1.30"/>
        <s v="*2.1.31"/>
        <s v="*2.1.32"/>
        <s v="*2.1.33"/>
        <s v="*2.1.34"/>
        <s v="*2.1.35"/>
        <s v="*2.1.36"/>
        <s v="*2.1.37"/>
        <s v="*2.1.38"/>
        <n v="2.2"/>
        <s v="2.2.1"/>
        <s v="2.2.2"/>
        <n v="3"/>
        <s v="*3.1"/>
        <s v="*3.1.1"/>
        <s v="*3.1.2"/>
        <s v="*3.1.3"/>
        <s v="*3.1.4"/>
        <s v="*3.1.5"/>
        <s v="*3.1.6"/>
        <s v="*3.1.7"/>
        <s v="*3.1.8"/>
        <s v="*3.1.9"/>
        <n v="3.2"/>
        <s v="3.2.1"/>
        <s v="3.2.2"/>
        <n v="4"/>
        <s v="*4.1"/>
        <s v="*4.1.1"/>
        <s v="*4.1.2"/>
        <s v="*4.1.3"/>
        <s v="*4.1.4"/>
        <s v="*4.1.5"/>
        <n v="4.2"/>
        <s v="4.2.1"/>
        <n v="5"/>
        <n v="5.1"/>
        <s v="5.1.1"/>
        <s v="5.1.2"/>
        <s v="5.1.3"/>
        <s v="5.1.4"/>
        <s v="5.1.5"/>
        <s v="5.1.6"/>
        <s v="5.1.7"/>
        <s v="5.1.8"/>
        <s v="5.1.9"/>
        <s v="5.1.10"/>
        <n v="6"/>
        <s v="*6.1"/>
        <s v="*6.1.1"/>
        <s v="*6.1.2"/>
        <s v="*6.1.3"/>
        <s v="*6.1.4"/>
        <s v="*6.1.5"/>
        <s v="*6.1.6"/>
        <s v="*6.1.7"/>
        <s v="*6.1.8"/>
        <s v="*6.1.9"/>
        <s v="*6.1.10"/>
        <s v="*6.1.11"/>
        <n v="6.2"/>
        <s v="6.2.1"/>
        <n v="7"/>
        <s v="*7.1"/>
        <s v="*7.1.1"/>
        <s v="*7.1.2"/>
        <s v="*7.1.3"/>
        <s v="*7.1.4"/>
        <s v="*7.1.5"/>
        <s v="*7.1.6"/>
        <s v="*7.1.7"/>
        <s v="*7.1.8"/>
        <s v="*7.1.9"/>
        <s v="*7.1.10"/>
        <s v="*7.1.11"/>
        <s v="*7.1.12"/>
        <s v="*7.1.13"/>
        <n v="7.2"/>
        <s v="7.2.1"/>
        <s v="7.2.2"/>
        <s v="7.2.3"/>
        <s v="7.2.4"/>
        <s v="7.2.5"/>
        <s v="7.2.6"/>
        <s v="7.2.7"/>
        <s v="7.2.8"/>
        <s v="7.2.9"/>
        <s v="7.2.10"/>
        <s v="7.2.11"/>
        <s v="7.2.12"/>
        <s v="7.2.13"/>
        <s v="7.2.14"/>
        <s v="7.2.15"/>
        <s v="7.2.16"/>
        <s v="7.2.17"/>
        <s v="7.2.18"/>
        <s v="7.2.19"/>
        <s v="7.2.20"/>
        <s v="7.2.21"/>
        <s v="7.2.22"/>
        <s v="7.2.23"/>
        <s v="7.2.24"/>
        <s v="7.2.25"/>
        <s v="7.2.26"/>
        <s v="7.2.27"/>
        <s v="7.2.28"/>
        <s v="7.2.29"/>
        <s v="7.2.30"/>
        <s v="7.2.31"/>
        <s v="7.2.32"/>
        <s v="7.2.33"/>
        <s v="7.2.34"/>
        <s v="7.2.35"/>
        <s v="7.2.36"/>
        <s v="7.2.37"/>
        <s v="7.2.38"/>
        <s v="7.2.39"/>
        <s v="7.2.40"/>
        <s v="7.2.41"/>
        <s v="7.2.42"/>
        <s v="7.2.43"/>
        <s v="7.2.44"/>
        <s v="7.2.45"/>
        <s v="7.2.46"/>
        <s v="7.2.47"/>
        <s v="7.2.48"/>
        <s v="7.2.49"/>
        <s v="7.2.50"/>
        <s v="7.2.51"/>
        <s v="7.2.52"/>
        <s v="7.2.53"/>
        <s v="7.2.54"/>
        <s v="7.2.55"/>
        <s v="7.2.56"/>
        <s v="7.2.57"/>
        <s v="7.2.58"/>
        <s v="7.2.59"/>
        <s v="7.2.60"/>
        <s v="7.2.61"/>
        <s v="7.2.62"/>
        <s v="7.2.63"/>
        <s v="7.2.64"/>
        <s v="7.2.65"/>
        <s v="7.2.66"/>
        <s v="7.2.67"/>
        <s v="7.2.68"/>
        <s v="7.2.69"/>
        <s v="7.2.70"/>
        <s v="7.2.71"/>
        <s v="7.2.72"/>
        <s v="7.2.73"/>
        <s v="7.2.74"/>
        <s v="7.2.75"/>
        <s v="7.2.76"/>
        <s v="7.2.77"/>
        <s v="7.2.78"/>
        <s v="7.2.79"/>
        <n v="8"/>
        <s v="*8.1"/>
        <s v="*8.1.1"/>
        <n v="8.2"/>
        <s v="8.2.1"/>
        <s v="8.2.2"/>
        <s v="8.2.3"/>
        <s v="8.2.4"/>
        <s v="8.2.5"/>
        <s v="8.2.6"/>
        <n v="9"/>
        <s v="*9.1"/>
        <s v="*9.1.1"/>
        <s v="*9.1.2"/>
        <s v="*9.1.3"/>
        <s v="*9.1.4"/>
        <s v="*9.1.5"/>
        <s v="*9.1.6"/>
        <s v="*9.1.7"/>
        <s v="*9.1.8"/>
        <s v="*9.1.9"/>
        <s v="*9.1.10"/>
        <s v="*9.1.11"/>
        <s v="*9.1.12"/>
        <s v="*9.1.13"/>
        <s v="*9.1.14"/>
        <s v="*9.1.15"/>
        <n v="9.2"/>
        <s v="9.2.1"/>
        <s v="9.2.2"/>
        <s v="9.2.3"/>
        <s v="9.2.4"/>
        <s v="9.2.5"/>
        <s v="9.2.6"/>
        <s v="9.2.7"/>
        <s v="9.2.8"/>
        <s v="9.2.9"/>
        <s v="9.2.10"/>
        <s v="9.2.11"/>
        <s v="9.2.12"/>
        <s v="9.2.13"/>
        <s v="9.2.14"/>
        <s v="9.2.15"/>
        <n v="10"/>
        <n v="10.1"/>
        <s v="*10.1.1"/>
        <s v="*10.1.2"/>
        <s v="*10.1.3"/>
        <s v="*10.1.4"/>
        <s v="*10.1.5"/>
        <s v="*10.1.6"/>
        <s v="*10.1.7"/>
        <s v="*10.1.8"/>
        <s v="*10.1.9"/>
        <s v="*10.1.10"/>
        <s v="*10.1.11"/>
        <n v="10.2"/>
        <s v="10.2.1"/>
        <s v="10.2.2"/>
        <s v="10.2.3"/>
        <s v="10.2.4"/>
        <s v="10.2.5"/>
        <s v="10.2.6"/>
        <n v="11"/>
        <s v="*11.1"/>
        <s v="*11.1.1"/>
        <s v="*11.1.2"/>
        <s v="*11.1.3"/>
        <s v="*11.1.4"/>
        <s v="*11.1.5"/>
        <s v="*11.1.6"/>
        <s v="*11.1.7"/>
        <s v="*11.1.8"/>
        <n v="11.2"/>
        <s v="11.2.1"/>
        <s v="11.2.2"/>
        <s v="11.2.3"/>
        <s v="11.2.4"/>
        <s v="11.2.5"/>
        <s v="11.2.6"/>
        <s v="11.2.7"/>
        <n v="12"/>
        <s v="*12.1"/>
        <s v="*12.1.1"/>
        <s v="*12.1.2"/>
        <s v="*12.1.3"/>
        <s v="*12.1.4"/>
        <s v="*12.1.5"/>
        <s v="*12.1.6"/>
        <s v="*12.1.7"/>
        <s v="*12.1.8"/>
        <s v="*12.1.9"/>
        <n v="12.2"/>
        <s v="12.2.1"/>
        <s v="12.2.2"/>
        <s v="12.2.3"/>
        <s v="12.2.4"/>
        <s v="12.2.5"/>
        <s v="12.2.6"/>
        <n v="13"/>
        <s v="*13.1"/>
        <s v="*13.1.1"/>
        <s v="*13.1.2"/>
        <s v="*13.1.3"/>
        <s v="*13.1.4"/>
        <n v="13.2"/>
        <s v="13.2.1"/>
        <s v="13.2.2"/>
        <s v="13.2.3"/>
        <s v="13.2.4"/>
        <s v="13.2.5"/>
        <s v="13.2.6"/>
        <s v="13.2.7"/>
        <s v="13.2.8"/>
        <s v="13.2.9"/>
        <s v="13.2.10"/>
        <s v="13.2.11"/>
        <s v="13.2.12"/>
        <s v="13.2.13"/>
        <s v="13.2.14"/>
        <n v="14"/>
        <s v="*14.1"/>
        <n v="14.2"/>
        <s v="14.2.1"/>
        <s v="14.2.2"/>
        <s v="14.2.3"/>
        <s v="14.2.4"/>
        <s v="14.2.5"/>
        <s v="14.2.6"/>
        <s v="14.2.7"/>
        <s v="14.2.8"/>
        <s v="14.2.9"/>
        <n v="15"/>
        <n v="15.1"/>
        <n v="15.2"/>
        <n v="15.3"/>
        <n v="15.4"/>
        <n v="15.5"/>
        <n v="15.6"/>
        <n v="15.7"/>
        <n v="15.8"/>
        <n v="15.9"/>
        <n v="15.11"/>
        <n v="15.12"/>
        <n v="15.13"/>
        <n v="15.14"/>
        <n v="15.15"/>
        <n v="15.16"/>
        <n v="15.17"/>
        <n v="15.18"/>
        <n v="15.19"/>
        <n v="15.21"/>
        <n v="15.22"/>
        <n v="15.23"/>
        <n v="15.24"/>
        <n v="15.25"/>
        <n v="15.26"/>
        <n v="15.27"/>
        <n v="15.28"/>
        <n v="15.29"/>
        <n v="15.31"/>
        <n v="15.32"/>
        <n v="15.33"/>
        <n v="15.34"/>
        <n v="15.35"/>
        <n v="15.36"/>
        <n v="15.37"/>
        <n v="15.38"/>
        <n v="15.39"/>
        <n v="15.41"/>
        <n v="15.42"/>
        <n v="15.43"/>
        <n v="15.44"/>
        <n v="15.45"/>
        <n v="15.46"/>
        <n v="15.47"/>
        <n v="15.48"/>
        <n v="15.49"/>
        <n v="15.51"/>
        <n v="15.52"/>
        <n v="15.53"/>
        <n v="15.54"/>
        <n v="15.55"/>
        <n v="15.56"/>
        <n v="15.57"/>
        <n v="16"/>
      </sharedItems>
    </cacheField>
    <cacheField name="工程或费用名称" numFmtId="0">
      <sharedItems count="322">
        <s v="土建设施"/>
        <s v="新建脱硫主厂房"/>
        <s v="脱硫厂房基础"/>
        <s v="脱硫厂房基础钢筋"/>
        <s v="脱硫主厂房钢结构"/>
        <s v="屋面彩板"/>
        <s v="雨棚彩板"/>
        <s v="外墙彩板"/>
        <s v="外墙采光板"/>
        <s v="TPO防水卷材"/>
        <s v="砖墙"/>
        <s v="电动钢卷帘门"/>
        <s v="钢制防盗门"/>
        <s v="铝合金推拉窗"/>
        <s v="散水"/>
        <s v="建筑地坪"/>
        <s v="脱硫站平台"/>
        <s v="脱硫平台柱基础"/>
        <s v="脱硫站平台钢筋混凝土框架"/>
        <s v="以上钢筋"/>
        <s v="脱硫站平台钢结构"/>
        <s v="高位料仓"/>
        <s v="平台隔热喷涂料"/>
        <s v="耐火砖"/>
        <s v="脱硫站轨道及基础"/>
        <s v="轨道基础"/>
        <s v="轨道基础钢筋"/>
        <s v="地面钢轨"/>
        <s v="电缆卷筒钢平台"/>
        <s v="新建参观通道"/>
        <s v="精炼炉及脱硫走道钢平台"/>
        <s v="墙面彩板"/>
        <s v="钢化玻璃隔断"/>
        <s v="建筑小房"/>
        <s v="液压站"/>
        <s v="操作室（精装修）"/>
        <s v="电气室"/>
        <s v="工具、休息间"/>
        <s v="风机房及电气室改造"/>
        <s v="内墙面"/>
        <s v="顶棚面"/>
        <s v="电动卷帘门"/>
        <s v="其他零星构筑物"/>
        <s v="地下管廊加固混凝土"/>
        <s v="管道支架基础"/>
        <s v="烟囱基础"/>
        <s v="铁水秤基础"/>
        <s v="新建排水沟及盖板"/>
        <s v="轨道衡基础"/>
        <s v="道口板基础"/>
        <s v="管道支架钢结构"/>
        <s v="钢烟囱"/>
        <s v="墙基础"/>
        <s v="墙基础钢筋"/>
        <s v="240mm厚砖墙"/>
        <s v="4厚钢板"/>
        <s v="4mm厚PVC门帘"/>
        <s v="室外硬化地坪"/>
        <s v="地基处理"/>
        <s v="钻孔灌注桩"/>
        <s v="钻孔灌注桩钢筋"/>
        <s v="地基换填"/>
        <s v="工艺设施"/>
        <s v="设备安装"/>
        <s v="搅拌头"/>
        <s v="搅拌头旋转装置"/>
        <s v="搅拌头升降装置"/>
        <s v="升降导轨及框架"/>
        <s v="称量斗"/>
        <s v="电动升降溜槽"/>
        <s v="翻转检修平台"/>
        <s v="搅拌头更换小车"/>
        <s v="翻板轨道"/>
        <s v="吹气赶渣装置"/>
        <s v="搅拌头吊具"/>
        <s v="铁水倾翻车防尘门"/>
        <s v="渣罐车防尘门"/>
        <s v="破渣装置"/>
        <s v="脱硫液压站"/>
        <s v="料仓顶的布袋除尘器"/>
        <s v="压力释放阀"/>
        <s v="给料系统的配管"/>
        <s v="给料系统的耐磨弯管"/>
        <s v="给料系统的手动阀门"/>
        <s v="流化装置（料仓/称量斗）"/>
        <s v="料仓下方的手动物料切断阀"/>
        <s v="料仓下方的旋转给料器"/>
        <s v="称量斗下方气动物料切断阀"/>
        <s v="称量斗下方的旋转给料器"/>
        <s v="软连接件"/>
        <s v="铁水罐倾翻车"/>
        <s v="渣罐车"/>
        <s v="扒渣机"/>
        <s v="测温取样机器人"/>
        <s v="120t铁水包"/>
        <s v="金属软管"/>
        <s v="160t铸造起重机龙门钩"/>
        <s v="16t双梁通用桥式起重机"/>
        <s v="3t扒渣板更换电动葫芦"/>
        <s v="1t吹气赶渣枪更换电动葫芦"/>
        <s v="行车恢复安装"/>
        <s v="3t起重机检修电动葫芦"/>
        <s v="材料及安装"/>
        <s v="不锈钢液压中间配管"/>
        <s v="燃气设施"/>
        <s v="氮气球阀"/>
        <s v="氧气专用截止阀"/>
        <s v="氧气用点阀箱"/>
        <s v="手提式干粉灭火器"/>
        <s v="手提式二氧化碳灭火器"/>
        <s v="灭火器箱"/>
        <s v="无缝钢管"/>
        <s v="不锈钢钢管"/>
        <s v="热力设施"/>
        <s v="法兰连接手动闸阀"/>
        <s v="法兰连接截止阀"/>
        <s v="给排水设施"/>
        <s v="焊接钢管"/>
        <s v="镀锌钢管"/>
        <s v="焊接钢管（埋地）"/>
        <s v="高密度聚乙烯（HDPE）缠绕埋地管"/>
        <s v="室内消火栓DN65  含水带及水枪"/>
        <s v="钢混检查井"/>
        <s v="HDPE检查井"/>
        <s v="砖砌雨水口"/>
        <s v="通风设施"/>
        <s v="水冷柜式空调机"/>
        <s v="风冷柜式空调机"/>
        <s v="轴流通风机"/>
        <s v="工业除湿机"/>
        <s v="屋顶风机"/>
        <s v="电动耐磨尘气蝶阀"/>
        <s v="离心通风机及电机"/>
        <s v="非金属补偿器"/>
        <s v="风管"/>
        <s v="电气设施"/>
        <s v="配电柜"/>
        <s v="电气柜"/>
        <s v="动力配电箱"/>
        <s v="操作箱"/>
        <s v="操作台"/>
        <s v="开关盒"/>
        <s v="现场检修箱"/>
        <s v="端子箱"/>
        <s v="照明配电箱"/>
        <s v="接地箱"/>
        <s v="PROFINE网络组件"/>
        <s v="阀门控制箱"/>
        <s v="钢基铜导体滑触线"/>
        <s v="移动耐高温动力电缆 YGGR-450/750"/>
        <s v="动力电缆  ZR-YJV-0.6/1kV"/>
        <s v="耐高温动力软电缆 ZR-YGCR-0.6/1kV"/>
        <s v="耐高温动力电缆 ZR-YGG-0.6/1kV"/>
        <s v="变频动力电缆 ZR-BPGGP"/>
        <s v="变频动力软电缆 ZR-BPGGPR"/>
        <s v="对绞屏蔽电缆 ZR-DJYVPR-500"/>
        <s v="耐高温屏蔽控制电缆 ZR-KGGRP-500"/>
        <s v="控制电缆 ZR-KVVR-500"/>
        <s v="控制电缆 ZR-KVVRP-500"/>
        <s v="导线"/>
        <s v="通讯电缆（电缆由总包方供货）"/>
        <s v="镀锌电缆桥架"/>
        <s v="桥架钢结构支架"/>
        <s v="PVC管"/>
        <s v="金属软管（含接头）"/>
        <s v="主厂房照明灯具"/>
        <s v="投光灯"/>
        <s v="耐高温投光灯"/>
        <s v="电力设施"/>
        <s v="除尘电机新增高压变频器"/>
        <s v="10kV电缆"/>
        <s v="控制电缆"/>
        <s v="10kV电缆头"/>
        <s v="仪表设施"/>
        <s v="铁水测温仪"/>
        <s v="电子称"/>
        <s v="钢丝绳张力计"/>
        <s v="热电阻"/>
        <s v="一体式流量计"/>
        <s v="压力变送器"/>
        <s v="压力表"/>
        <s v="气动切断阀"/>
        <s v="流量孔板"/>
        <s v="差压变送器"/>
        <s v="电磁流量计"/>
        <s v="PLC柜"/>
        <s v="HMI"/>
        <s v="UPS"/>
        <s v="阻燃对绞总屏蔽计算机软电缆"/>
        <s v="阻燃控制屏蔽软电缆"/>
        <s v="阻燃控制软电缆"/>
        <s v="PROFIBUS电缆"/>
        <s v="单模光纤（总包方供货）"/>
        <s v="6类屏蔽网线（总包方供货）"/>
        <s v="PN网线（总包方供货）"/>
        <s v="DP线路（由总包方供货）"/>
        <s v="紫铜管"/>
        <s v="钢结构"/>
        <s v="计算机系统"/>
        <s v="二级计算机系统"/>
        <s v="服务器"/>
        <s v="工作站"/>
        <s v="操作终端"/>
        <s v="服务器机柜"/>
        <s v="交换机"/>
        <s v="光纤配线架"/>
        <s v="辅材"/>
        <s v="PVC线槽"/>
        <s v="动力电缆"/>
        <s v="网线（总包方供货）"/>
        <s v="光纤（总包方供货）"/>
        <s v="光纤跳线（总包方供货）"/>
        <s v="自动扒渣系统"/>
        <s v="渣面检测相机及防护罩"/>
        <s v="倾翻检测相机及防护罩"/>
        <s v="渣盆检测相机及防护罩"/>
        <s v="铁水液面计与保护罩"/>
        <s v="相机风冷阀门箱"/>
        <s v="配电和网络箱"/>
        <s v="千兆光电转换器"/>
        <s v="智能扒渣服务器"/>
        <s v="阻燃对绞屏蔽软电缆"/>
        <s v="阻燃耐高温动力软电缆"/>
        <s v="光缆（总包方供货）"/>
        <s v="耐高温网线（总包方供货）"/>
        <s v="耐高温隔热套管"/>
        <s v="罐架识别系统"/>
        <s v="系统工作站"/>
        <s v="调试工作站"/>
        <s v="二级组网交换机"/>
        <s v="一级组网交换机"/>
        <s v="RFID安装箱"/>
        <s v="220转24直流电源"/>
        <s v="RFID识别装置"/>
        <s v="RFID天线立杆"/>
        <s v="RF680高温标签"/>
        <s v="镀锌金属波纹管"/>
        <s v="铝合金板"/>
        <s v="4芯光缆（含端子盒）"/>
        <s v="铠装动力电缆"/>
        <s v="控制线缆"/>
        <s v="电讯设施"/>
        <s v="电话系统"/>
        <s v="工业电视"/>
        <s v="对讲系统"/>
        <s v="火灾报警系统"/>
        <s v="大对数通讯电缆"/>
        <s v="6类非屏蔽双绞线"/>
        <s v="单模光缆"/>
        <s v="尾纤"/>
        <s v="光纤跳线"/>
        <s v="电缆"/>
        <s v="广播线"/>
        <s v="耐火阻燃电缆"/>
        <s v="总图设施"/>
        <s v="铁水称（轨道衡）"/>
        <s v="新建钢筋混凝土排水沟"/>
        <s v="钢筋混凝土盖板"/>
        <s v="车挡"/>
        <s v="新建道路"/>
        <s v="土方回填"/>
        <s v="树木移栽"/>
        <s v="铁路路基碎石换填"/>
        <s v="铁路土路基压实"/>
        <s v="拆除"/>
        <s v="拆除厂房柱基础"/>
        <s v="拆除厂房钢结构"/>
        <s v="屋面彩钢板拆除"/>
        <s v="墙面彩钢板拆除"/>
        <s v="拆除两套脱硫设施钢平台"/>
        <s v="拆除排水沟"/>
        <s v="拆除铁水罐坑"/>
        <s v="拆除管道支架基础"/>
        <s v="拆除烟囱基础"/>
        <s v="拆除烟囱本体钢结构"/>
        <s v="拆除管道钢结构支架"/>
        <s v="拆除脱硫站钢平台"/>
        <s v="拆除一层电气室"/>
        <s v="拆除电缆隧道通风小房"/>
        <s v="拆除液压站"/>
        <s v="拆除MCC电气室"/>
        <s v="拆除操作室、PLC室"/>
        <s v="拆除悬臂吊"/>
        <s v="拆除喷吹脱硫站加料系统设备、管道"/>
        <s v="拆除布袋除尘设施 20万m3/h"/>
        <s v="拆除离心通风机风量85万m3/h（含电机）"/>
        <s v="拆除原精炼除尘高压变频器"/>
        <s v="拆除10kV电缆"/>
        <s v="拆除道路"/>
        <s v="保护性拆除轨道衡"/>
        <s v="保护性拆除铁路"/>
        <s v="保护性拆除道岔"/>
        <s v="拆除电缆桥架"/>
        <s v="拆除镀锌钢管"/>
        <s v="拆除电缆"/>
        <s v="拆除铁运线原脱硫平台下混凝土"/>
        <s v="破除铁运线原脱硫平台下铁轨"/>
        <s v="拆除钢筋混凝土地坪"/>
        <s v="拆除除液压站砖砌房"/>
        <s v="拆除除尘管道"/>
        <s v="拆除顶枪修复平台及楼梯、喷枪等"/>
        <s v="拆除厂房两处门洞"/>
        <s v="拆除倒罐站钢平台拆除"/>
        <s v="拆除除尘管道及除尘罩"/>
        <s v="拆除二层电气室房子"/>
        <s v="拆除倒罐站厂房四周蒸汽管道"/>
        <s v="拆除倒罐站厂房与主跨厂房墙面"/>
        <s v="拆除钢结构走道及栏杆等"/>
        <s v="拆除0.6mm厚墙皮"/>
        <s v="拆除雾炮机介质管道"/>
        <s v="拆除旧除尘器基础"/>
        <s v="拆除路边电缆桥架支架"/>
        <s v="保护性拆除红绿灯"/>
        <s v="拆除电缆沟基础"/>
        <s v="拆除厂外部火车道旧除尘旁边地坪破除"/>
        <s v="保护性拆除行车"/>
        <s v="拆除除尘管道支架拆除"/>
        <s v="拆除渣场管廊进出口房子"/>
        <s v="拆除新渣罐车轨道基础区域地面"/>
        <s v="电缆井电缆改造"/>
        <s v="保护性拆除铁水秤"/>
        <s v="测量"/>
      </sharedItems>
    </cacheField>
    <cacheField name="规格型号" numFmtId="0">
      <sharedItems containsBlank="1" count="170">
        <m/>
        <s v="C30(钢筋单列)"/>
        <s v="各种规格、各种型号、各种材质"/>
        <s v="屋面采用0.8mm厚单层YX130-333-666（角驰III）型彩色压型钢板"/>
        <s v="0.8厚V125彩钢板"/>
        <s v="0.6厚V125彩钢板"/>
        <s v="1.5mm厚FRP一级阻燃型增强玻璃钢釆光板，板型同墙面"/>
        <s v="1.5厚，燃烧性能等级不低于B2，卷材随波形铺设。"/>
        <s v="烧结普通砖"/>
        <s v="高5m，宽4m，钢制卷帘门"/>
        <s v="50mm厚"/>
        <s v="1、80厚C20混凝土面层,撤1:1水泥砂子压实赶光；2、150厚粒径10~40砾石灌M2.5混合砂浆或150厚3:7灰土_x000a_夯实,宽出面层100；3、压实填土,压实系数&gt;93%,向外坡3%~5%"/>
        <s v="150厚C20素混凝土，垫层300厚碎石"/>
        <s v="C30耐热钢筋混凝土，耐热温度250度(钢筋单列)"/>
        <s v="隔热板下部及侧向外表面喷涂 50mm厚隔热材料, 要求耐火度不小于700度，材料容重不大于1t/m3"/>
        <s v="高铝砖、硅碳砖‌、镁碳砖；1550℃"/>
        <s v="单层钢化玻璃，不小于6mm"/>
        <s v="砖混结构"/>
        <s v="1、涂料_x000a_2、3厚耐水腻子分遍找平_x000a_3、10厚DP M5砂浆（1:1:6水泥石灰膏砂浆）或粉刷石膏砂浆打底抹平"/>
        <s v="1、现浇(或预制)钢筋混凝土板_x000a_2、2~3厚面层耐水腻子刮平_x000a_3、刷(喷)涂料"/>
        <s v="C40(钢筋单列)"/>
        <s v="150厚碎石垫层上铺100厚C20细石混凝土"/>
        <s v="C30抗渗(钢筋单列)"/>
        <s v="级配砂夹石"/>
        <s v="16t"/>
        <s v="DN125"/>
        <s v="DN100"/>
        <s v="DN50"/>
        <s v="DN80"/>
        <s v="DN25"/>
        <s v="DN150"/>
        <s v="DN65"/>
        <s v="DN40"/>
        <s v="DN15"/>
        <s v="d800"/>
        <s v="d300"/>
        <s v="d400"/>
        <s v="Ø1200，参02S515"/>
        <s v="Ø1000，参08SS523"/>
        <s v="参05S518"/>
        <s v="DN1800"/>
        <s v="DN1500"/>
        <s v="DN900"/>
        <s v="70万m3/h 5500Pa；电机1600kW 10kV"/>
        <s v="3281x820"/>
        <s v="1980x2704"/>
        <s v="各种规格、各种型号、Q235"/>
        <s v="450A 单相"/>
        <s v="4X2.5"/>
        <s v="4X4"/>
        <s v="2X2.5"/>
        <s v="3X2.5"/>
        <s v="2X4"/>
        <s v="2X16"/>
        <s v="2X50"/>
        <s v="3X4"/>
        <s v="5X4"/>
        <s v="5X6"/>
        <s v="3X10"/>
        <s v="3X16"/>
        <s v="5X10"/>
        <s v="5X16"/>
        <s v="3X25+1X16"/>
        <s v="3X35+2X16"/>
        <s v="3X35+1X16"/>
        <s v="3X70+2X35"/>
        <s v="3X120+1X70"/>
        <s v="3X185+1X95"/>
        <s v="5X2.5"/>
        <s v="3X4+3X0.75"/>
        <s v="3x95+3x16"/>
        <s v="3X50+3X10"/>
        <s v="3X16+3X2.5"/>
        <s v="3X120+3X25"/>
        <s v="1X2X1.5"/>
        <s v="2X2X1.5"/>
        <s v="4X1.5"/>
        <s v="5X1.5"/>
        <s v="7X1.5"/>
        <s v="10X1.5"/>
        <s v="12X1.5"/>
        <s v="14X1.5"/>
        <s v="16X1.5"/>
        <s v="19X1.5"/>
        <s v="24X1.5"/>
        <s v="7X2.5"/>
        <s v="10X2.5"/>
        <s v="BVR-500 6mm2"/>
        <s v="SG25"/>
        <s v="DN20"/>
        <s v="DN32"/>
        <s v="400W"/>
        <s v="70W"/>
        <s v="100W"/>
        <s v="变频电机:1600kW _x000a_高压变频器，手动旁路柜，含空水冷装置1台"/>
        <s v="ZR-YJV22-8.7/15 3X70"/>
        <s v="ZR-KVVRP22-500    1(4X4)"/>
        <s v="ZR-KVVRP22-500    1(10X1.5)"/>
        <s v="ZR-KVVRP22-500    1(14X1.5)"/>
        <s v="10KVA"/>
        <s v="ZR-DJYVPR 1x2x1.5"/>
        <s v="ZR-DJYVPR 2x2x1.0"/>
        <s v="ZR-KVVPR 5X1.0"/>
        <s v="ZR-KVVR 2X1.5"/>
        <s v="6XV1851-4AU10"/>
        <s v="φ8x1"/>
        <s v="台式机"/>
        <s v="42U"/>
        <s v="机架式"/>
        <s v="导轨式"/>
        <s v="网线2米*10根,水晶头50个/盒*1"/>
        <s v="G25"/>
        <s v="20X35"/>
        <s v="ZR-YJV 3X4"/>
        <s v="屏蔽双绞线"/>
        <s v="16芯"/>
        <s v="LC-ST单模双芯"/>
        <s v="带镜头，连接电缆电缆和风冷防护罩及支架等"/>
        <s v="含手动球阀、压力表、空气过滤器等"/>
        <s v="ZC-DJYVPR 4x2x1.0"/>
        <s v="ZC-YGGR-0.6/1kV 2x2.5"/>
        <s v="400*300*600"/>
        <s v="24V/10A电源"/>
        <s v="RF680R、RF650A、RF660A"/>
        <s v="2.5米监控立杆，平均口径65mm"/>
        <s v="自制安装支架，将高温标签和保护罩固定在铁水罐上"/>
        <s v="φ50"/>
        <s v="标准4mm厚度表面阳极氧化或电泳处理"/>
        <s v="gyta53-4b1"/>
        <s v="ZR-YJV22-0.6/1kV  1(3X2.5)"/>
        <s v="KVVP ZR-KVVP 2×1.0"/>
        <s v="接线箱2套，电话机4台"/>
        <s v="摄像机31套，监视器9套，配套支架、存储器、解码器、机柜、工作站等"/>
        <s v="无线对讲18套，对讲站1套，扬声器1套"/>
        <s v="火焰、感烟及感温探测器24套；壁挂广播3套；配套接线箱模块等"/>
        <s v="HYA10*2*0.5"/>
        <s v="UTP-CAT6"/>
        <s v="GYXTW-4B 4芯"/>
        <s v="GYXTW-12B 12芯"/>
        <s v="单模，FC/PC"/>
        <s v="单模，FC/LC，2m"/>
        <s v="YJV3x1.5mm"/>
        <s v="NH-RVSP2*2.5"/>
        <s v="YJV3x2.5mm"/>
        <s v="NH-RVVS2X1.5mm2"/>
        <s v="NH-RVV2X2.0mm2"/>
        <s v="NH-RVS2X1.5mm2"/>
        <s v="400t双向称量不断轨的全电子动态轨道衡"/>
        <s v="钢筋混凝土盖板，长580mm，宽490mm，厚150mm"/>
        <s v="钢筋混凝土弹簧车档"/>
        <s v="城市型，混凝土面层厚23cm，水泥稳定碎石基层厚20cm，级配碎石基层厚20cm，天然砂砾垫层15cm。"/>
        <s v="胸径20cm"/>
        <s v="钢筋混凝土；一般性拆除"/>
        <s v="一般性拆除"/>
        <s v="框架结构；一般性拆除"/>
        <s v="轻钢结构；一般性拆除"/>
        <s v="3X70；一般性拆除"/>
        <s v="混凝土面层厚23cm，水泥稳定碎石基层厚20cm，级配碎石基层厚20cm，天然砂砾垫层15cm。一般性拆除"/>
        <s v="400t电子动态轨道衡"/>
        <s v="冶IA级，60kg/m钢轨，钢筋混凝土枕1840根/km"/>
        <s v="60Kg/m钢轨，1/7单开道岔，AT尖轨道岔，配套混凝土岔枕"/>
        <s v="约8米宽，约20米长，高度约4米，墙厚约200mm。一般性拆除"/>
        <s v="碳钢管道，一般性拆除"/>
        <s v="新建铁轨需要拆除厂房山墙8*10米，至精炼炉公路需要拆除5*6米门洞，涉及110平米彩瓦拆除，门洞钢构拆除，门洞加固等。一般性拆除"/>
        <s v="框架结构，一般性拆除"/>
        <s v="素砼地坪，一般性拆除"/>
        <s v="钢筋混凝土，一般性拆除"/>
        <s v="渣跨架空部分(约6m)电缆需改由埋地，涉及地面敷设、电缆沟施工、4根35KV电缆敷设"/>
        <s v="400t动态铁水秤"/>
        <s v="除尘管道及支架；介质管道；铁路、道路、渣罐车路径等"/>
      </sharedItems>
    </cacheField>
    <cacheField name="单位" numFmtId="0">
      <sharedItems containsBlank="1" count="20">
        <m/>
        <s v="立方米"/>
        <s v="吨"/>
        <s v="平方米"/>
        <s v="m³"/>
        <s v="个"/>
        <s v="套"/>
        <s v="台"/>
        <s v="组"/>
        <s v="具"/>
        <s v="米"/>
        <s v="座"/>
        <s v="支"/>
        <s v="面"/>
        <s v="对"/>
        <s v="根"/>
        <s v="块"/>
        <s v="棵"/>
        <s v="付"/>
        <s v="项"/>
      </sharedItems>
    </cacheField>
    <cacheField name="数 量" numFmtId="0">
      <sharedItems containsString="0" containsBlank="1" containsNumber="1" minValue="0" maxValue="7500" count="163">
        <m/>
        <n v="120"/>
        <n v="9"/>
        <n v="209"/>
        <n v="1536"/>
        <n v="22.32"/>
        <n v="3410"/>
        <n v="420"/>
        <n v="1558.32"/>
        <n v="30"/>
        <n v="36"/>
        <n v="12.32"/>
        <n v="90"/>
        <n v="124.8"/>
        <n v="700"/>
        <n v="130"/>
        <n v="314"/>
        <n v="60"/>
        <n v="408"/>
        <n v="15"/>
        <n v="25"/>
        <n v="495"/>
        <n v="59.4"/>
        <n v="23.27"/>
        <n v="2"/>
        <n v="14"/>
        <n v="47.25"/>
        <n v="63"/>
        <n v="126"/>
        <n v="28.35"/>
        <n v="270"/>
        <n v="216"/>
        <n v="230"/>
        <n v="140"/>
        <n v="50"/>
        <n v="300"/>
        <n v="45"/>
        <n v="85"/>
        <n v="64"/>
        <n v="29.36"/>
        <n v="1.12"/>
        <n v="4"/>
        <n v="6"/>
        <n v="1500"/>
        <n v="731"/>
        <n v="51.2"/>
        <n v="210"/>
        <n v="10"/>
        <n v="1"/>
        <n v="32"/>
        <n v="2.5"/>
        <n v="8"/>
        <n v="40"/>
        <n v="20"/>
        <n v="10.5"/>
        <n v="0.25"/>
        <n v="3"/>
        <n v="7.37"/>
        <n v="1.27"/>
        <n v="6.84"/>
        <n v="80"/>
        <n v="65"/>
        <n v="27"/>
        <n v="29"/>
        <n v="12"/>
        <n v="7"/>
        <n v="240"/>
        <n v="221"/>
        <n v="74"/>
        <n v="1656"/>
        <n v="552"/>
        <n v="110"/>
        <n v="37"/>
        <n v="337"/>
        <n v="276"/>
        <n v="690"/>
        <n v="386"/>
        <n v="184"/>
        <n v="258"/>
        <n v="18"/>
        <n v="138"/>
        <n v="267"/>
        <n v="442"/>
        <n v="534"/>
        <n v="2576"/>
        <n v="55"/>
        <n v="2429"/>
        <n v="368"/>
        <n v="202"/>
        <n v="1012"/>
        <n v="543"/>
        <n v="228"/>
        <n v="5721"/>
        <n v="3224"/>
        <n v="3485"/>
        <n v="1058"/>
        <n v="672"/>
        <n v="166"/>
        <n v="294"/>
        <n v="331"/>
        <n v="129"/>
        <n v="265"/>
        <n v="350"/>
        <n v="147"/>
        <n v="745"/>
        <n v="239"/>
        <n v="261"/>
        <n v="322"/>
        <n v="506"/>
        <n v="883"/>
        <n v="17"/>
        <n v="8.7"/>
        <n v="175"/>
        <n v="87"/>
        <n v="28"/>
        <n v="16"/>
        <n v="44"/>
        <n v="1380"/>
        <n v="900"/>
        <n v="1800"/>
        <n v="450"/>
        <n v="3.65"/>
        <n v="100"/>
        <n v="500"/>
        <n v="1000"/>
        <n v="1.65"/>
        <n v="0.2"/>
        <n v="0.3"/>
        <n v="2000"/>
        <n v="200"/>
        <n v="150"/>
        <n v="0.259"/>
        <n v="0.16"/>
        <n v="160"/>
        <n v="1600"/>
        <n v="4000"/>
        <n v="2500"/>
        <n v="400"/>
        <n v="800"/>
        <n v="5.48"/>
        <n v="520"/>
        <n v="600"/>
        <n v="7500"/>
        <n v="3600"/>
        <n v="3500"/>
        <n v="97"/>
        <n v="1100"/>
        <n v="3780"/>
        <n v="56"/>
        <n v="189"/>
        <n v="6.3"/>
        <n v="42"/>
        <n v="60.9525"/>
        <n v="75.6"/>
        <n v="5"/>
        <n v="1300"/>
        <n v="2600"/>
        <n v="526"/>
        <n v="83.2"/>
        <n v="63.8"/>
        <n v="335"/>
        <n v="950"/>
        <n v="86.7629"/>
      </sharedItems>
    </cacheField>
    <cacheField name="重量(吨)" numFmtId="0">
      <sharedItems containsString="0" containsBlank="1" containsNumber="1" minValue="0" maxValue="45" count="19">
        <m/>
        <n v="4"/>
        <n v="16"/>
        <n v="10.5"/>
        <n v="15.5"/>
        <n v="1.5"/>
        <n v="2"/>
        <n v="0.5"/>
        <n v="2.5"/>
        <n v="0.1"/>
        <n v="3"/>
        <n v="12"/>
        <n v="1"/>
        <n v="6"/>
        <n v="0.2"/>
        <n v="0.05"/>
        <n v="45"/>
        <n v="18"/>
        <n v="25"/>
      </sharedItems>
    </cacheField>
    <cacheField name="列1" numFmtId="0">
      <sharedItems containsString="0" containsBlank="1" containsNumber="1" minValue="0" maxValue="800" count="20">
        <m/>
        <n v="40"/>
        <n v="32"/>
        <n v="21"/>
        <n v="31"/>
        <n v="3"/>
        <n v="4"/>
        <n v="1"/>
        <n v="5"/>
        <n v="0.2"/>
        <n v="8"/>
        <n v="6"/>
        <n v="12"/>
        <n v="2"/>
        <n v="0.4"/>
        <n v="0.8"/>
        <n v="0.1"/>
        <n v="90"/>
        <n v="36"/>
        <n v="800"/>
      </sharedItems>
    </cacheField>
    <cacheField name="综合单价" numFmtId="0">
      <sharedItems containsString="0" containsBlank="1" containsNumber="1" minValue="0" maxValue="56254.8" count="246">
        <m/>
        <n v="794.40165180531"/>
        <n v="5161"/>
        <n v="7251.57864778761"/>
        <n v="127.021847787611"/>
        <n v="115.608679646018"/>
        <n v="108.153246017699"/>
        <n v="57.2001132743363"/>
        <n v="64.015135841724"/>
        <n v="1208.7664"/>
        <n v="261.719610619469"/>
        <n v="495.689557522124"/>
        <n v="298.196991150443"/>
        <n v="71.6993685132744"/>
        <n v="121.521260212389"/>
        <n v="0"/>
        <n v="784.60255180531"/>
        <n v="1499.69029380531"/>
        <n v="7691.58017699115"/>
        <n v="4678.28"/>
        <n v="2275.92"/>
        <n v="901.55955180531"/>
        <n v="8055.23504424779"/>
        <n v="7551.57864778761"/>
        <n v="584.197557522124"/>
        <n v="2640.02244247788"/>
        <n v="2892.90244247788"/>
        <n v="3019.34244247788"/>
        <n v="2387.14244247788"/>
        <n v="56.898"/>
        <n v="25.288"/>
        <n v="1030.25472571835"/>
        <n v="804.60255180531"/>
        <n v="980.97019380531"/>
        <n v="947.834353929204"/>
        <n v="7694.0194619469"/>
        <n v="290.103936"/>
        <n v="196.055849911504"/>
        <n v="113.796"/>
        <n v="823.89926460177"/>
        <n v="193.89574"/>
        <n v="1133.32"/>
        <n v="1291.65"/>
        <n v="1937.475"/>
        <n v="665"/>
        <n v="3483.3"/>
        <n v="4874.95"/>
        <n v="153.332"/>
        <n v="387.495"/>
        <n v="25833"/>
        <n v="55666"/>
        <n v="7458.25"/>
        <n v="1420.815"/>
        <n v="1820.815"/>
        <n v="2324.97"/>
        <n v="39199.862920354"/>
        <n v="118.15938"/>
        <n v="169.20615"/>
        <n v="101.52369"/>
        <n v="135.36492"/>
        <n v="40.609476"/>
        <n v="676.8246"/>
        <n v="20.304738"/>
        <n v="9113.17370707965"/>
        <n v="34500"/>
        <n v="270.72984"/>
        <n v="108.291936"/>
        <n v="67.68246"/>
        <n v="33.84123"/>
        <n v="8394.42191946903"/>
        <n v="9352.75763628318"/>
        <n v="894.72618361062"/>
        <n v="337.993028123894"/>
        <n v="500.490828106194"/>
        <n v="765.47065380531"/>
        <n v="3654.85284"/>
        <n v="3113.39316"/>
        <n v="1353.6492"/>
        <n v="406.09476"/>
        <n v="4060.9476"/>
        <n v="2707.2984"/>
        <n v="27072.984"/>
        <n v="9290.73557522124"/>
        <n v="1084.986"/>
        <n v="678.11625"/>
        <n v="271.2465"/>
        <n v="2712.465"/>
        <n v="691.318513274336"/>
        <n v="6.18142161"/>
        <n v="6.300300825"/>
        <n v="6.054210435"/>
        <n v="6.09750687"/>
        <n v="6.1061364"/>
        <n v="8.0076087"/>
        <n v="16.47793875"/>
        <n v="6.17308965"/>
        <n v="6.1418448"/>
        <n v="7.7308686"/>
        <n v="7.7993097"/>
        <n v="7.96743675"/>
        <n v="9.462726"/>
        <n v="11.2540974"/>
        <n v="11.2927815"/>
        <n v="13.28798835"/>
        <n v="16.43627895"/>
        <n v="17.1816918"/>
        <n v="17.6548281"/>
        <n v="24.60755115"/>
        <n v="33.303290475"/>
        <n v="42.3590895"/>
        <n v="6.10167285"/>
        <n v="6.14035695"/>
        <n v="7.6713546"/>
        <n v="9.21425505"/>
        <n v="19.7259153"/>
        <n v="9.233091231"/>
        <n v="27.52968855"/>
        <n v="23.7047981625"/>
        <n v="15.85363689"/>
        <n v="38.1633525"/>
        <n v="6.12250275"/>
        <n v="6.33972885"/>
        <n v="6.12845415"/>
        <n v="6.07489155"/>
        <n v="7.59249855"/>
        <n v="9.12200835"/>
        <n v="6.2281401"/>
        <n v="6.2757513"/>
        <n v="6.3174111"/>
        <n v="7.84840875"/>
        <n v="7.9242891"/>
        <n v="8.08348905"/>
        <n v="6.1477962"/>
        <n v="7.68176955"/>
        <n v="9.2633541"/>
        <n v="6.42899985"/>
        <n v="6.07608183"/>
        <n v="7.5939864"/>
        <n v="9.1383747"/>
        <n v="9.28567185"/>
        <n v="9.34221015"/>
        <n v="9.4002363"/>
        <n v="9.48504375"/>
        <n v="9.63382875"/>
        <n v="9.37494285"/>
        <n v="7.9480947"/>
        <n v="8.3587413"/>
        <n v="6.18201675"/>
        <n v="6.24748215"/>
        <n v="6.058971555"/>
        <n v="6.047961465"/>
        <n v="11600"/>
        <n v="7557.34699115044"/>
        <n v="9370.60641039823"/>
        <n v="21.95805"/>
        <n v="18.9392467699115"/>
        <n v="26.1404812831858"/>
        <n v="37.5664400442478"/>
        <n v="69.1318513274336"/>
        <n v="75.1328800884956"/>
        <n v="471.680860619469"/>
        <n v="249.642796460177"/>
        <n v="327.656170353982"/>
        <n v="12987.5"/>
        <n v="35.83375"/>
        <n v="6.066177"/>
        <n v="7.535606"/>
        <n v="7.663136"/>
        <n v="1674.57278761062"/>
        <n v="13053.6663716814"/>
        <n v="1549.98"/>
        <n v="258.33"/>
        <n v="129.165"/>
        <n v="64.5825"/>
        <n v="193.7475"/>
        <n v="1033.32"/>
        <n v="645.825"/>
        <n v="5.830955"/>
        <n v="5.996744"/>
        <n v="0.167206"/>
        <n v="5.731765"/>
        <n v="5.747352"/>
        <n v="11.336"/>
        <n v="8924.38705752212"/>
        <n v="8695.7764380531"/>
        <n v="53.666342920354"/>
        <n v="14.6082185840708"/>
        <n v="7857.34699115044"/>
        <n v="21.6608561946903"/>
        <n v="26.2330685840708"/>
        <n v="5.88055"/>
        <n v="5.668"/>
        <n v="7.085"/>
        <n v="14.17"/>
        <n v="6.196541"/>
        <n v="5.75302"/>
        <n v="60.124592920354"/>
        <n v="39.2524433628319"/>
        <n v="29.3193119469027"/>
        <n v="350.345774336283"/>
        <n v="11.43519"/>
        <n v="5.815368"/>
        <n v="5.7592548"/>
        <n v="6458.25"/>
        <n v="12916.5"/>
        <n v="5.721846"/>
        <n v="11.3539959"/>
        <n v="11.3739756"/>
        <n v="11.80361"/>
        <n v="11.54855"/>
        <n v="5.7613803"/>
        <n v="5.855044"/>
        <n v="5.8050239"/>
        <n v="5.7397002"/>
        <n v="5.7705908"/>
        <n v="5.7307731"/>
        <n v="28866.32"/>
        <n v="1020.20900155752"/>
        <n v="117.352123881062"/>
        <n v="26299.52"/>
        <n v="248"/>
        <n v="26"/>
        <n v="632.2"/>
        <n v="122.52036"/>
        <n v="25"/>
        <n v="265.524"/>
        <n v="796.572"/>
        <n v="26.5524"/>
        <n v="92.9334"/>
        <n v="663.81"/>
        <n v="28652.4"/>
        <n v="6638.1"/>
        <n v="12720.96"/>
        <n v="10.62096"/>
        <n v="159.3144"/>
        <n v="5310.48"/>
        <n v="73.0191"/>
        <n v="1991.43"/>
        <n v="1194.858"/>
        <n v="225.6954"/>
        <n v="1062.096"/>
        <n v="2124.192"/>
        <n v="56254.8"/>
        <n v="8663.27610619469"/>
        <n v="9466.6"/>
        <n v="38000"/>
      </sharedItems>
    </cacheField>
    <cacheField name="主材单价" numFmtId="0">
      <sharedItems containsString="0" containsBlank="1" containsNumber="1" minValue="0" maxValue="30000" count="60">
        <m/>
        <n v="260"/>
        <n v="3250"/>
        <n v="3510"/>
        <n v="72"/>
        <n v="63.5"/>
        <n v="50.5"/>
        <n v="20"/>
        <n v="41"/>
        <n v="436"/>
        <n v="200"/>
        <n v="330"/>
        <n v="210"/>
        <n v="17.2"/>
        <n v="32.25"/>
        <n v="0"/>
        <n v="570.75"/>
        <n v="3910"/>
        <n v="2200"/>
        <n v="1500"/>
        <n v="4600"/>
        <n v="800"/>
        <n v="15"/>
        <n v="10"/>
        <n v="300"/>
        <n v="3911"/>
        <n v="105"/>
        <n v="126.4"/>
        <n v="70"/>
        <n v="275"/>
        <n v="103"/>
        <n v="30000"/>
        <n v="4500"/>
        <n v="29000"/>
        <n v="3900"/>
        <n v="4700"/>
        <n v="600"/>
        <n v="220"/>
        <n v="350"/>
        <n v="2700"/>
        <n v="2300"/>
        <n v="4060"/>
        <n v="6500"/>
        <n v="2"/>
        <n v="9"/>
        <n v="35"/>
        <n v="40"/>
        <n v="280"/>
        <n v="95"/>
        <n v="160"/>
        <n v="900"/>
        <n v="6900"/>
        <n v="30"/>
        <n v="6"/>
        <n v="14"/>
        <n v="250"/>
        <n v="10.44435"/>
        <n v="56.35"/>
        <n v="82"/>
        <n v="2446"/>
      </sharedItems>
    </cacheField>
    <cacheField name="人工费" numFmtId="0">
      <sharedItems containsString="0" containsBlank="1" containsNumber="1" minValue="0" maxValue="40000" count="66">
        <m/>
        <n v="192.5"/>
        <n v="850"/>
        <n v="2150"/>
        <n v="22"/>
        <n v="10"/>
        <n v="520"/>
        <n v="30"/>
        <n v="100"/>
        <n v="50"/>
        <n v="20"/>
        <n v="25"/>
        <n v="0"/>
        <n v="415"/>
        <n v="1500"/>
        <n v="300"/>
        <n v="235"/>
        <n v="1300"/>
        <n v="120"/>
        <n v="680"/>
        <n v="580"/>
        <n v="335"/>
        <n v="2151"/>
        <n v="124.8"/>
        <n v="38.4"/>
        <n v="800"/>
        <n v="1000"/>
        <n v="500"/>
        <n v="2000"/>
        <n v="3000"/>
        <n v="80"/>
        <n v="20000"/>
        <n v="40000"/>
        <n v="5000"/>
        <n v="1100"/>
        <n v="3800"/>
        <n v="150"/>
        <n v="125"/>
        <n v="75"/>
        <n v="15"/>
        <n v="2600"/>
        <n v="200"/>
        <n v="130"/>
        <n v="55"/>
        <n v="60"/>
        <n v="4"/>
        <n v="5"/>
        <n v="6"/>
        <n v="7"/>
        <n v="8"/>
        <n v="10.5"/>
        <n v="12"/>
        <n v="4000"/>
        <n v="10000"/>
        <n v="1800"/>
        <n v="1200"/>
        <n v="18"/>
        <n v="35"/>
        <n v="2"/>
        <n v="600"/>
        <n v="8000"/>
        <n v="900"/>
        <n v="1600"/>
        <n v="3500"/>
        <n v="7500"/>
        <n v="30000"/>
      </sharedItems>
    </cacheField>
    <cacheField name="总计" numFmtId="0">
      <sharedItems containsString="0" containsBlank="1" containsNumber="1" minValue="0" maxValue="11828964.4728324" count="339">
        <n v="11828964.4728324"/>
        <m/>
        <n v="95328.1982166372"/>
        <n v="46449"/>
        <n v="1515579.93738761"/>
        <n v="195105.55820177"/>
        <n v="2580.38572969912"/>
        <n v="368802.568920354"/>
        <n v="24024.0475752212"/>
        <n v="99756.0664848754"/>
        <n v="36262.992"/>
        <n v="9421.90598230088"/>
        <n v="6106.89534867257"/>
        <n v="26837.7292035399"/>
        <n v="8948.08119045664"/>
        <n v="85064.8821486723"/>
        <n v="0"/>
        <n v="101998.33173469"/>
        <n v="470902.752254867"/>
        <n v="309660"/>
        <n v="2958644.08829734"/>
        <n v="115373.702654867"/>
        <n v="116957"/>
        <n v="68277.6"/>
        <n v="446271.978143628"/>
        <n v="306563.4"/>
        <n v="187445.319479646"/>
        <n v="15103.1572955752"/>
        <n v="105722.101069027"/>
        <n v="7621.31086725666"/>
        <n v="3468.26038938054"/>
        <n v="70103.7069026549"/>
        <n v="124741.06040708"/>
        <n v="182252.853876106"/>
        <n v="380437.147752213"/>
        <n v="67675.4882442479"/>
        <n v="15362.46"/>
        <n v="5462.208"/>
        <n v="7851.58831858407"/>
        <n v="236958.586915221"/>
        <n v="72414.2296624779"/>
        <n v="109844.357252743"/>
        <n v="45077.9775902655"/>
        <n v="24524.2548451327"/>
        <n v="270467.865541593"/>
        <n v="42652.5459268142"/>
        <n v="438685"/>
        <n v="362578.932389381"/>
        <n v="492417.245564602"/>
        <n v="35489.381504"/>
        <n v="11769.0382770796"/>
        <n v="5780.32"/>
        <n v="1160.415744"/>
        <n v="784.223399646016"/>
        <n v="682.776"/>
        <n v="182281.890318583"/>
        <n v="602270.362423894"/>
        <n v="264243.2"/>
        <n v="40718.1054"/>
        <n v="389815.566300885"/>
        <n v="11333.2"/>
        <n v="2266.64"/>
        <n v="1291.65"/>
        <n v="3874.95"/>
        <n v="2660"/>
        <n v="1330"/>
        <n v="6966.6"/>
        <n v="9749.9"/>
        <n v="4906.624"/>
        <n v="774.99"/>
        <n v="51666"/>
        <n v="55666"/>
        <n v="14916.5"/>
        <n v="2841.63"/>
        <n v="1820.815"/>
        <n v="20924.73"/>
        <n v="97999.657300885"/>
        <n v="113825.808752336"/>
        <n v="118.15938"/>
        <n v="676.8246"/>
        <n v="406.09476"/>
        <n v="135.36492"/>
        <n v="324.875808"/>
        <n v="5414.5968"/>
        <n v="812.18952"/>
        <n v="1218.28428"/>
        <n v="95688.3239243363"/>
        <n v="8625"/>
        <n v="29099.2650812389"/>
        <n v="270.72984"/>
        <n v="433.167744"/>
        <n v="243.656856"/>
        <n v="27339.5211212389"/>
        <n v="236098.102825593"/>
        <n v="61866.8895464868"/>
        <n v="11878.0021980796"/>
        <n v="57417.8459291682"/>
        <n v="26841.7855083186"/>
        <n v="20279.5816874336"/>
        <n v="40039.2662484955"/>
        <n v="1530.94130761062"/>
        <n v="7309.70568"/>
        <n v="6226.78632"/>
        <n v="2707.2984"/>
        <n v="671715.637309381"/>
        <n v="1353.6492"/>
        <n v="8121.8952"/>
        <n v="27072.984"/>
        <n v="4060.9476"/>
        <n v="603897.812389381"/>
        <n v="1085578.98394715"/>
        <n v="2169.972"/>
        <n v="29294.622"/>
        <n v="4068.6975"/>
        <n v="24412.185"/>
        <n v="1356.2325"/>
        <n v="7866.1485"/>
        <n v="3254.958"/>
        <n v="1898.7255"/>
        <n v="271.2465"/>
        <n v="2712.465"/>
        <n v="165916.443185841"/>
        <n v="1366.09417581"/>
        <n v="466.22226105"/>
        <n v="10025.77248036"/>
        <n v="3365.82379224"/>
        <n v="671.675004"/>
        <n v="880.836957"/>
        <n v="609.68373375"/>
        <n v="2054.85981519"/>
        <n v="1703.7727434"/>
        <n v="4237.872912"/>
        <n v="2984.1152796"/>
        <n v="1435.0729848"/>
        <n v="2055.5986815"/>
        <n v="1040.89986"/>
        <n v="202.5737532"/>
        <n v="835.665831"/>
        <n v="239.1837903"/>
        <n v="2268.2064951"/>
        <n v="4587.5117106"/>
        <n v="7803.4340202"/>
        <n v="1820.9587851"/>
        <n v="17783.95711365"/>
        <n v="109117.014552"/>
        <n v="335.59200675"/>
        <n v="14820.96335265"/>
        <n v="3278.9506113"/>
        <n v="2823.0584928"/>
        <n v="1861.2795201"/>
        <n v="10888.7052456"/>
        <n v="9343.888325772"/>
        <n v="5065.4626932"/>
        <n v="4361.6828619"/>
        <n v="2917.06918776"/>
        <n v="14044.11372"/>
        <n v="4197.968775"/>
        <n v="3324.51899325"/>
        <n v="1445.4581778"/>
        <n v="2365.5833019"/>
        <n v="34754.45455755"/>
        <n v="24478.2153252"/>
        <n v="31790.19909975"/>
        <n v="6589.3722258"/>
        <n v="4217.3048736"/>
        <n v="1048.6902426"/>
        <n v="2307.4321725"/>
        <n v="2622.9396921"/>
        <n v="1042.77008745"/>
        <n v="1401.6975336"/>
        <n v="2120.1683958"/>
        <n v="2454.7888365"/>
        <n v="237.87299445"/>
        <n v="2126.6286405"/>
        <n v="2232.6320016"/>
        <n v="1343.3410809"/>
        <n v="1875.7057137"/>
        <n v="6959.94656175"/>
        <n v="2246.6564757"/>
        <n v="1223.57064375"/>
        <n v="2514.42930375"/>
        <n v="3018.7315977"/>
        <n v="1319.3837202"/>
        <n v="2691.5146986"/>
        <n v="3128.1004755"/>
        <n v="3161.2259679"/>
        <n v="1672.27614918"/>
        <n v="5340.349973595"/>
        <n v="197200"/>
        <n v="68016.122920354"/>
        <n v="81524.2757704646"/>
        <n v="3645.0363"/>
        <n v="3314.36818473451"/>
        <n v="2784.06927517699"/>
        <n v="470.528663097345"/>
        <n v="3268.28028384956"/>
        <n v="1935.69183716814"/>
        <n v="2103.72064247788"/>
        <n v="7546.8937699115"/>
        <n v="36697.4910796461"/>
        <n v="14416.8714955752"/>
        <n v="142603.455282301"/>
        <n v="12987.5"/>
        <n v="49450.575"/>
        <n v="5459.5593"/>
        <n v="13564.0908"/>
        <n v="3448.4112"/>
        <n v="10047.4367256637"/>
        <n v="47645.8822566371"/>
        <n v="93942.6294325221"/>
        <n v="4649.94"/>
        <n v="6199.92"/>
        <n v="2583.3"/>
        <n v="516.66"/>
        <n v="1162.485"/>
        <n v="2066.64"/>
        <n v="1808.31"/>
        <n v="193.7475"/>
        <n v="129.165"/>
        <n v="4133.28"/>
        <n v="8746.4325"/>
        <n v="599.6744"/>
        <n v="83.603"/>
        <n v="2865.8825"/>
        <n v="5731.765"/>
        <n v="1724.2056"/>
        <n v="5668"/>
        <n v="3400.8"/>
        <n v="14725.2386449115"/>
        <n v="1739.15528761062"/>
        <n v="1609.99028761062"/>
        <n v="876.493115044248"/>
        <n v="2357.20409734513"/>
        <n v="28643.657119469"/>
        <n v="1033.32"/>
        <n v="1937.475"/>
        <n v="645.825"/>
        <n v="387.495"/>
        <n v="216.608561946903"/>
        <n v="786.992057522124"/>
        <n v="176.4165"/>
        <n v="1700.4"/>
        <n v="14170"/>
        <n v="226.72"/>
        <n v="30869.7542443584"/>
        <n v="1239.3082"/>
        <n v="1150.604"/>
        <n v="850.2"/>
        <n v="2311.41624789823"/>
        <n v="6012.4592920354"/>
        <n v="5887.86650442478"/>
        <n v="19043.1904115469"/>
        <n v="1549.98"/>
        <n v="8266.56"/>
        <n v="1427.90192920354"/>
        <n v="879.579358407081"/>
        <n v="350.345774336283"/>
        <n v="1829.6304"/>
        <n v="465.22944"/>
        <n v="11.5185096"/>
        <n v="219302.282535221"/>
        <n v="25833"/>
        <n v="6458.25"/>
        <n v="12916.5"/>
        <n v="5753.02"/>
        <n v="9154.9536"/>
        <n v="45415.9836"/>
        <n v="11373.9756"/>
        <n v="236.0722"/>
        <n v="230.971"/>
        <n v="2880.69015"/>
        <n v="2927.522"/>
        <n v="14403.45075"/>
        <n v="23220.0956"/>
        <n v="2295.88008"/>
        <n v="4616.47264"/>
        <n v="2292.30924"/>
        <n v="48905.6410752212"/>
        <n v="1290818.43065178"/>
        <n v="57732.64"/>
        <n v="153031.350233628"/>
        <n v="61023.1044181521"/>
        <n v="52599.04"/>
        <n v="87737"/>
        <n v="148800"/>
        <n v="195000"/>
        <n v="6322"/>
        <n v="441073.296"/>
        <n v="87500"/>
        <n v="1912679.09266809"/>
        <n v="13276.2"/>
        <n v="77267.484"/>
        <n v="29207.64"/>
        <n v="100368.072"/>
        <n v="159314.4"/>
        <n v="6638.1"/>
        <n v="185866.8"/>
        <n v="5310.48"/>
        <n v="10620.96"/>
        <n v="44608.032"/>
        <n v="39828.6"/>
        <n v="47794.32"/>
        <n v="17564.4126"/>
        <n v="585.48042"/>
        <n v="3903.2028"/>
        <n v="5664.5230635"/>
        <n v="7025.76504"/>
        <n v="3319.05"/>
        <n v="26552.4"/>
        <n v="28652.4"/>
        <n v="12720.96"/>
        <n v="13807.248"/>
        <n v="79657.2"/>
        <n v="36509.55"/>
        <n v="3982.86"/>
        <n v="2389.716"/>
        <n v="27614.496"/>
        <n v="118715.7804"/>
        <n v="4779.432"/>
        <n v="19184.109"/>
        <n v="14869.344"/>
        <n v="66274.7904"/>
        <n v="15931.44"/>
        <n v="106209.6"/>
        <n v="67761.7248"/>
        <n v="31132.689"/>
        <n v="18055.632"/>
        <n v="25224.78"/>
        <n v="92150.5290384"/>
        <n v="135417.24"/>
        <n v="2124.192"/>
        <n v="4062.5172"/>
        <n v="2549.0304"/>
        <n v="56254.8"/>
        <n v="1354.1724"/>
        <n v="47396.034"/>
        <n v="8663.27610619469"/>
        <n v="18933.2"/>
        <n v="38000"/>
      </sharedItems>
    </cacheField>
    <cacheField name="主材总价" numFmtId="0">
      <sharedItems containsString="0" containsBlank="1" containsNumber="1" minValue="0" maxValue="5370095.66" count="115">
        <n v="5370095.66"/>
        <m/>
        <n v="31200"/>
        <n v="29250"/>
        <n v="733590"/>
        <n v="110592"/>
        <n v="1417.32"/>
        <n v="172205"/>
        <n v="8400"/>
        <n v="63891.12"/>
        <n v="13080"/>
        <n v="7200"/>
        <n v="4065.6"/>
        <n v="18900"/>
        <n v="2146.56"/>
        <n v="22575"/>
        <n v="0"/>
        <n v="33800"/>
        <n v="179215.5"/>
        <n v="195000"/>
        <n v="1432080"/>
        <n v="58650"/>
        <n v="55000"/>
        <n v="45000"/>
        <n v="128700"/>
        <n v="193050"/>
        <n v="107042"/>
        <n v="7820"/>
        <n v="54740"/>
        <n v="4320"/>
        <n v="1905"/>
        <n v="39600"/>
        <n v="37800"/>
        <n v="50400"/>
        <n v="100800"/>
        <n v="22680"/>
        <n v="4050"/>
        <n v="2160"/>
        <n v="6000"/>
        <n v="59800"/>
        <n v="23400"/>
        <n v="36400"/>
        <n v="13000"/>
        <n v="6500"/>
        <n v="78000"/>
        <n v="13500"/>
        <n v="276250"/>
        <n v="175500"/>
        <n v="250304"/>
        <n v="12800.96"/>
        <n v="3900"/>
        <n v="3640"/>
        <n v="420"/>
        <n v="505.6"/>
        <n v="48375"/>
        <n v="201025"/>
        <n v="166400"/>
        <n v="21630"/>
        <n v="88500"/>
        <n v="75000"/>
        <n v="54500"/>
        <n v="47250"/>
        <n v="7250"/>
        <n v="132388"/>
        <n v="28743"/>
        <n v="5969"/>
        <n v="26676"/>
        <n v="18000"/>
        <n v="13200"/>
        <n v="28000"/>
        <n v="600"/>
        <n v="5400"/>
        <n v="4600"/>
        <n v="1200"/>
        <n v="263900"/>
        <n v="299805"/>
        <n v="84000"/>
        <n v="110500"/>
        <n v="31590"/>
        <n v="40890"/>
        <n v="332"/>
        <n v="1575"/>
        <n v="1323"/>
        <n v="270"/>
        <n v="1740"/>
        <n v="980"/>
        <n v="1120"/>
        <n v="4480"/>
        <n v="13965"/>
        <n v="7040"/>
        <n v="30585"/>
        <n v="25185"/>
        <n v="11088"/>
        <n v="7755"/>
        <n v="900"/>
        <n v="360"/>
        <n v="1173"/>
        <n v="200"/>
        <n v="20"/>
        <n v="180"/>
        <n v="6317.3"/>
        <n v="1217.3"/>
        <n v="3000"/>
        <n v="2100"/>
        <n v="1602"/>
        <n v="752"/>
        <n v="250"/>
        <n v="25756"/>
        <n v="428691.062"/>
        <n v="39000"/>
        <n v="5431.062"/>
        <n v="55250"/>
        <n v="33810"/>
        <n v="295200"/>
        <n v="2072"/>
      </sharedItems>
    </cacheField>
    <cacheField name="人工费总价" numFmtId="0">
      <sharedItems containsString="0" containsBlank="1" containsNumber="1" minValue="0" maxValue="2938281.74" count="234">
        <n v="2938281.74"/>
        <m/>
        <n v="23100"/>
        <n v="7650"/>
        <n v="449350"/>
        <n v="33792"/>
        <n v="491.04"/>
        <n v="75020"/>
        <n v="9240"/>
        <n v="15583.2"/>
        <n v="15600"/>
        <n v="1080"/>
        <n v="1232"/>
        <n v="4500"/>
        <n v="2496"/>
        <n v="17500"/>
        <n v="0"/>
        <n v="25025"/>
        <n v="130310"/>
        <n v="51000"/>
        <n v="877200"/>
        <n v="32250"/>
        <n v="37500"/>
        <n v="9000"/>
        <n v="116325"/>
        <n v="50490"/>
        <n v="30251"/>
        <n v="4300"/>
        <n v="30100"/>
        <n v="1320"/>
        <n v="660"/>
        <n v="14400"/>
        <n v="32130"/>
        <n v="42840"/>
        <n v="85680"/>
        <n v="16443"/>
        <n v="8100"/>
        <n v="2160"/>
        <n v="900"/>
        <n v="44275"/>
        <n v="17325"/>
        <n v="26950"/>
        <n v="11750"/>
        <n v="8375"/>
        <n v="70500"/>
        <n v="10575"/>
        <n v="72250"/>
        <n v="107500"/>
        <n v="137664"/>
        <n v="15267.2"/>
        <n v="2887.5"/>
        <n v="952"/>
        <n v="499.2"/>
        <n v="153.6"/>
        <n v="120"/>
        <n v="73100"/>
        <n v="43520"/>
        <n v="2100"/>
        <n v="206460"/>
        <n v="8000"/>
        <n v="1600"/>
        <n v="1000"/>
        <n v="3000"/>
        <n v="2000"/>
        <n v="4000"/>
        <n v="6000"/>
        <n v="2560"/>
        <n v="600"/>
        <n v="40000"/>
        <n v="10000"/>
        <n v="2200"/>
        <n v="1100"/>
        <n v="2700"/>
        <n v="9500"/>
        <n v="35340"/>
        <n v="150"/>
        <n v="500"/>
        <n v="300"/>
        <n v="100"/>
        <n v="240"/>
        <n v="27300"/>
        <n v="950"/>
        <n v="9100"/>
        <n v="200"/>
        <n v="320"/>
        <n v="180"/>
        <n v="7800"/>
        <n v="53648"/>
        <n v="19162"/>
        <n v="3302"/>
        <n v="17784"/>
        <n v="3900"/>
        <n v="3300"/>
        <n v="4800"/>
        <n v="800"/>
        <n v="219100"/>
        <n v="20000"/>
        <n v="169000"/>
        <n v="479773"/>
        <n v="21600"/>
        <n v="18000"/>
        <n v="5800"/>
        <n v="2400"/>
        <n v="1400"/>
        <n v="24000"/>
        <n v="884"/>
        <n v="296"/>
        <n v="6624"/>
        <n v="2208"/>
        <n v="440"/>
        <n v="550"/>
        <n v="370"/>
        <n v="1348"/>
        <n v="1104"/>
        <n v="2760"/>
        <n v="1930"/>
        <n v="920"/>
        <n v="1290"/>
        <n v="126"/>
        <n v="518"/>
        <n v="144"/>
        <n v="1380"/>
        <n v="2670"/>
        <n v="4641"/>
        <n v="1110"/>
        <n v="10680"/>
        <n v="64400"/>
        <n v="220"/>
        <n v="9716"/>
        <n v="2136"/>
        <n v="1840"/>
        <n v="1212"/>
        <n v="6072"/>
        <n v="7360"/>
        <n v="2172"/>
        <n v="912"/>
        <n v="1544"/>
        <n v="22884"/>
        <n v="16120"/>
        <n v="20910"/>
        <n v="4232"/>
        <n v="2688"/>
        <n v="664"/>
        <n v="1470"/>
        <n v="1655"/>
        <n v="645"/>
        <n v="1590"/>
        <n v="148"/>
        <n v="882"/>
        <n v="4470"/>
        <n v="1434"/>
        <n v="774"/>
        <n v="1566"/>
        <n v="1932"/>
        <n v="830"/>
        <n v="1610"/>
        <n v="2024"/>
        <n v="3532"/>
        <n v="68000"/>
        <n v="19350"/>
        <n v="22620"/>
        <n v="2490"/>
        <n v="1050"/>
        <n v="108"/>
        <n v="870"/>
        <n v="560"/>
        <n v="14700"/>
        <n v="4400"/>
        <n v="76950"/>
        <n v="34500"/>
        <n v="3600"/>
        <n v="2250"/>
        <n v="14600"/>
        <n v="59565"/>
        <n v="400"/>
        <n v="3200"/>
        <n v="1200"/>
        <n v="4290"/>
        <n v="520"/>
        <n v="450"/>
        <n v="360"/>
        <n v="20880"/>
        <n v="1500"/>
        <n v="160"/>
        <n v="17573.4"/>
        <n v="673.4"/>
        <n v="13124"/>
        <n v="6400"/>
        <n v="416"/>
        <n v="50"/>
        <n v="1280"/>
        <n v="8"/>
        <n v="136668"/>
        <n v="5000"/>
        <n v="32000"/>
        <n v="16000"/>
        <n v="14248"/>
        <n v="204200"/>
        <n v="50250"/>
        <n v="26000"/>
        <n v="14450"/>
        <n v="21000"/>
        <n v="15000"/>
        <n v="962817.37"/>
        <n v="2500"/>
        <n v="58200"/>
        <n v="22000"/>
        <n v="75600"/>
        <n v="120000"/>
        <n v="1250"/>
        <n v="35000"/>
        <n v="33600"/>
        <n v="30000"/>
        <n v="36000"/>
        <n v="3780"/>
        <n v="840"/>
        <n v="1219.05"/>
        <n v="1512"/>
        <n v="10400"/>
        <n v="12500"/>
        <n v="1800"/>
        <n v="20800"/>
        <n v="10520"/>
        <n v="1700"/>
        <n v="49920"/>
        <n v="12000"/>
        <n v="80000"/>
        <n v="51040"/>
        <n v="6700"/>
        <n v="13600"/>
        <n v="19000"/>
        <n v="69410.32"/>
        <n v="4200"/>
        <n v="3500"/>
      </sharedItems>
    </cacheField>
    <cacheField name="主材损耗率%" numFmtId="0">
      <sharedItems containsString="0" containsBlank="1" containsNonDate="0" count="1">
        <m/>
      </sharedItems>
    </cacheField>
    <cacheField name="工作内容" numFmtId="0">
      <sharedItems containsBlank="1" count="55" longText="1">
        <m/>
        <s v="降水、排水、挖填运土石方(含特殊爆破)、基础垫层、模板安拆堆放、截（接）桩头、填桩芯、预埋铁件（含钢管、套筒、防雷接地极、地脚螺栓等）制安、砼浇捣养护、脚手架搭拆、铁件刷油、浇灌（灌浆）、固定架制安等全部工作内容"/>
        <s v="钢筋采购、制作、运输、绑扎安装等全部工作内容"/>
        <s v="钢结构设计详图设计、材料供货、除锈防腐、制作、探伤、运输、卸车、拼装、吊装、安装、涂漆、接地等全部工作内容"/>
        <s v="墙屋面板(含异型板、零配件)排版、制作、运输、安装等施工图、施工规范要求的全部工作内容"/>
        <s v="同上"/>
        <s v="基层处理、涂刷基层处理剂、卷材铺设、收口密封、成品保护等全部工作内容"/>
        <s v="调运砂浆、运砌砖、砌窗台虎头砖、腰线、门窗套、安放木砖、铁件、粉刷、涂料、脚手架等满足施工图、施工规范要求的全部工作内容"/>
        <s v="材料供货及敷设安装等满足施工图纸及规范要求的全部工作内容"/>
        <s v="降水、排水、挖运填土石方、铺设垫层、夯实、模板安拆、浇筑混凝土面层抹灰压实、养护等全部工作内容"/>
        <s v="降水、排水、挖填运土石方(含特殊爆破)、基础垫层、造型砼、模板安拆堆放、截（接）桩头、填桩芯、预埋铁件（含钢管、套筒、防雷接地极、地脚螺栓等）制安、砼浇捣养护、脚手架搭拆、铁件刷油、浇灌（灌浆）、固定架制安等全部工作内容"/>
        <s v="钢结构设计详图设计、材料供货、除锈防腐、隔热、制作、探伤、运输、卸车、拼装、吊装、安装、涂漆、接地等全部工作内容"/>
        <s v="供货、接货、开箱清点、场内运输、检、试验、（含外观、理化等检、试验）、铺贴喷隔热材料及配套的固定件、清理表面等全部工作内容"/>
        <s v="供货，接货、开箱清点、运输、检（试）验、（含外观、理化等检、试验）、砌筑（含预砌筑、预组装、选砖、机械集中磨砖、机械集中切砖）、二次勾缝吹风清扫、镶铁件、模板装拆等全部工作内容"/>
        <s v="矫直、切割、坡口、吊装、手下工焊接、找正、连接接头、压轨器(含主材)供货及安装、车挡制作、接地安装等全部工作内容"/>
        <s v="供货、运输、安装、调试等全部工作内容"/>
        <s v="降水、排水、土石方(含特殊爆破)挖运填、基础、截（接）桩头、桩锚筋、桩锚板、PHC桩混凝土填芯、基坑支护、钢筋供货及制安、混凝土结构（含构件）、砌体及其涂料，楼面顶棚涂料，楼面、屋面及其防水、防火、隔热、保温层，门窗，地面防潮层，地面铺砌、预埋铁件、预埋管道、钢构件、钢结构KMD设计、脚手架，界面剂，伸缩缝，隔断，踢脚线、散水、坡道、装修及零星构筑物(如电缆沟及其盖板)等全部土建工作内容及照明(包括照明电缆电线、配管、灯具、整流器（断路器、触发器）、开关、插座、照明箱等主材供货及安装等) 、防雷接地、室内外给排水（含淋浴、洗脸盆、污水池、大小便器、管道等），空调电源线路、弱电线路及插座等全部工作内容"/>
        <s v="调运砂浆、抹灰、涂料等全部工作内容"/>
        <s v="降水、排水、挖填运土石方(含特殊爆破)、基础垫层、模板安拆堆放、截（接）桩头、填桩芯、预埋铁件（含钢管、套筒、防雷接地极、地脚螺栓等）制安、植筋、砼浇捣养护、脚手架搭拆、铁件刷油、浇灌（灌浆）、固定架制安等全部工作内容"/>
        <s v="钢板供货、铺贴及固定等满足施工图、施工规范要求的全部工作内容"/>
        <s v="降水、排水、机械进出场、安装防护口管、钻孔、就位、挖泥浆沟槽、泥浆运输、钢筋笼放置、灌注水下混凝土、压密注浆、振捣、养护；土石方清理运输弃置；桩基检测、检验、试验、报验等全部工作内容"/>
        <s v="降水、排水、挖填运土石方、换填材料供货填充、碾压夯实等满足施工图、施工规范要求的全部工作内容"/>
        <s v="接货、开箱清点、场内运输、外观检查、设备清洗、吊装、拼装、联结、安装就位、调整、固定、灌浆、电机检查接线、接地连接及设备本体的单体调试、配合机组联动试车和热负荷试车，以及配合业主办理特种设备、压力管道等报审报验及使用许可证等全部工作内容"/>
        <s v="接货、开箱清点、场内运输、外观检查、存放在指定位置保管等全部工作内容"/>
        <s v="量尺寸、断管、连接接头、钻眼、攻丝、固定等全部工作内容"/>
        <s v="接货、开箱清点、场内运输、外观检查、设备清洗、吊装、拼装、联结、接地、安装就位、电机检查接线、调整、固定及设备本体的单体调试、空负荷试车、配合机组热负荷试车，以及通过特种设备报验，取得运行合格证书等全部工作内容"/>
        <s v="接货、开箱清点、场内运输、外观检查、设备清洗、吊装、拼装、联结、接地、安装就位、调整、固定、配套电气材料供货及安装、设备本体的单体调试、空负荷试车、配合机组热负荷试车，以及通过特种设备报验，取得运行合格证书等全部工作内容"/>
        <s v="管道、管件及材料性阀门供货及安装、管支架及管夹制作安装、水冲洗及水试漏，管道酸洗、碱洗、预膜、脱脂、水冲洗、钝化、管道吹扫，系统油冲洗，油压试验，冲洗用油（分包方供货）、滤芯及酸洗、冲洗用的临时设施安装及拆除、接地、标识等全部工作内容"/>
        <s v="接货、开箱清点、场内运输、外观检查、设备清洗、吊装、拼装、联结、安装就位、调整、固定、防雷接地、灌浆、电机检查接线、接地连接及设备本体的单体调试、配合机组联动试车和热负荷试车，以及配合业主办理特种设备、压力管道等报审及使用许可证等全部工作内容"/>
        <s v="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"/>
        <s v="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刷油、防腐、标识等全部工作内容"/>
        <s v="土石方挖运填（含特殊爆破）、降水、排水、垫层、基础；管道及管道附件（含各类管件、材料类阀门、法兰、支吊架、管托、管箍、加固筋、紧固件）供货;管道及管道附件（含各类管件、材料类阀门、法兰、支吊架、管托、管箍、加固筋、紧固件、垫片、伸缩节、排水器及零星工程）敷设、套管制作安装、检验、接地、试验、阀门研磨、试压、酸洗、脱脂、钝化、探伤、吹扫、冲（清）洗、除锈、刷油、防腐、标识等全部工作内容"/>
        <s v="挖填运方、排水、垫层、基础、管道及管道附件供货、敷设连接、检验试验及完成图纸、规范及完整工序要求的全部工作内容"/>
        <s v="供货、安装及验收等满足施工图纸及规范要求的全部工作内容"/>
        <s v="降水、排水、土石方挖运填（含特殊爆破）、材料运输、砂浆制作、运输、铺设垫层 、钢筋、混凝土制作、运输、浇筑、振捣、养护、砌砖、勾缝、井池底、壁抹灰、抹防潮层、回填、井盖等全部工作内容"/>
        <s v="降水、排水、土石方挖运填（含特殊爆破）、材料运输、砂浆制作、运输、铺设垫层 、钢筋、混凝土制作、运输、浇筑、振捣、养护、砌砖、勾缝、池底、壁抹灰、抹防潮层、回填、雨水箅子等全部工作内容"/>
        <s v="接货、开箱清点、场内运输、外观检查、设备清洗、吊装、拼装、联结、基础型钢底座的供货及安装、就位、调整、固定、防雷接地、灌浆、电机检查接线、接地连接及设备本体的单体调试、配合机组联动试车和热负荷试车，以及配合业主办理特种设备、压力管道等报审及使用许可证等全部工作内容"/>
        <s v="管道、管件及附件（含各类材料类阀门、法兰、支吊架、管托、管箍、加固筋、紧固件）供货、敷设、套管制作安装、检验、接地、隔热、试验、阀门研磨、试压、酸洗、脱脂、钝化、探伤、吹扫、冲（清）洗、除锈、刷油、防腐、标识等全部工作内容"/>
        <s v="接货、开箱检查，场内运输、外观检查、基础型钢供货及制作安装、本体安装、干燥、端子箱(汇控箱)安装、刷(喷)油漆、接地连接、防火堵洞、试验和调试等全部工作内容"/>
        <s v="滑触线及拉紧装置、支持器（绝缘子）、集电气、信号灯、补偿母系等附件、安装支架的供货及制安、防腐、接地等全部工作内容"/>
        <s v="揭(盖)盖板、电缆（发包人供货）敷设，线鼻子、防火堵洞、电缆防护、电缆防火隔板、电缆防火涂料、防火堵料供货安装等全部工作内容。"/>
        <s v="电缆桥架及其配件供货运输、安装、防雷接地、补刷同材质涂料等全部工作内容"/>
        <s v="钢结构除锈、制作、探伤、安装、运输、卸车、拼装、涂漆、接地等全部工作内容"/>
        <s v="管道（含管件、材料类阀门、支吊架、管托、管箍、加固筋、紧固件、法兰、垫片等）供货及安装等全部工作内容"/>
        <s v="材料供货、量尺寸、断管、连接接头、钻眼、攻丝、固定等全部工作内容"/>
        <s v="灯具及附件供货，灯具、灯杆、开关、整流器（断路器、触发器）安装调试等全部工作内容"/>
        <s v="准备工作锯剥电缆、套绝缘、屏蔽、装接线盒、密封处理、防腐保护、整理固定、耐压试验、现场清理等全部工作内容"/>
        <s v="接货、开箱清点、场内运输、外观检查、基础型钢供货及制作安装、仪表单体调试、安装、校验（含首检）、校接线、仪表接头制作安装、测温取压取源部件制作安装、仪表管路连接件的供货及安装、仪表管路及阀门安装、仪表回路模拟试验、接地、配合单机试运转、配合工艺调试、现场检定等全部工作内容"/>
        <s v="接货、开箱检查，场内运输、外观检查、基础型钢供货及制作安装、本体安装、干燥、端子箱(汇控箱)安装、刷(喷)油漆、接地连接、防火堵洞、试验和调试、报验等全部工作内容"/>
        <s v="材料供货、制作、安装等满足施工图纸及规范要求的全部工作内容"/>
        <s v="降水、排水、土石方(含特殊爆破)挖运填、平整、滚压，基层铺筑、模板安拆堆放、砼浇捣养护、面层压光、伸缩缝、埋管、路缘（平）石铺砌等全部工作内容"/>
        <s v="前期准备、起挖处理、运输装卸、栽植施工、支撑固定、养护、现场清理等全部工作内容"/>
        <s v="清理路基基底杂物、挖填运土石方、平整场地，分层铺筑、机械压实、打夯、质量检测、修整完善等全部工作内容"/>
        <s v="控制扬尘、拆除、切割、清理、运输至指定位置等全部工作内容"/>
        <s v="规格、长度、标高、定位等全部工作内容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44">
  <r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0"/>
    <x v="0"/>
    <x v="0"/>
    <x v="0"/>
    <x v="0"/>
    <x v="0"/>
    <x v="0"/>
    <x v="0"/>
    <x v="1"/>
    <x v="1"/>
    <x v="1"/>
    <x v="0"/>
    <x v="0"/>
  </r>
  <r>
    <x v="2"/>
    <x v="2"/>
    <x v="2"/>
    <x v="1"/>
    <x v="1"/>
    <x v="1"/>
    <x v="0"/>
    <x v="0"/>
    <x v="1"/>
    <x v="1"/>
    <x v="1"/>
    <x v="2"/>
    <x v="2"/>
    <x v="2"/>
    <x v="0"/>
    <x v="1"/>
  </r>
  <r>
    <x v="3"/>
    <x v="3"/>
    <x v="3"/>
    <x v="2"/>
    <x v="2"/>
    <x v="2"/>
    <x v="0"/>
    <x v="0"/>
    <x v="2"/>
    <x v="2"/>
    <x v="2"/>
    <x v="3"/>
    <x v="3"/>
    <x v="3"/>
    <x v="0"/>
    <x v="2"/>
  </r>
  <r>
    <x v="4"/>
    <x v="4"/>
    <x v="4"/>
    <x v="2"/>
    <x v="2"/>
    <x v="3"/>
    <x v="0"/>
    <x v="0"/>
    <x v="3"/>
    <x v="3"/>
    <x v="3"/>
    <x v="4"/>
    <x v="4"/>
    <x v="4"/>
    <x v="0"/>
    <x v="3"/>
  </r>
  <r>
    <x v="5"/>
    <x v="5"/>
    <x v="5"/>
    <x v="3"/>
    <x v="3"/>
    <x v="4"/>
    <x v="0"/>
    <x v="0"/>
    <x v="4"/>
    <x v="4"/>
    <x v="4"/>
    <x v="5"/>
    <x v="5"/>
    <x v="5"/>
    <x v="0"/>
    <x v="4"/>
  </r>
  <r>
    <x v="6"/>
    <x v="6"/>
    <x v="6"/>
    <x v="4"/>
    <x v="3"/>
    <x v="5"/>
    <x v="0"/>
    <x v="0"/>
    <x v="5"/>
    <x v="5"/>
    <x v="4"/>
    <x v="6"/>
    <x v="6"/>
    <x v="6"/>
    <x v="0"/>
    <x v="5"/>
  </r>
  <r>
    <x v="7"/>
    <x v="7"/>
    <x v="7"/>
    <x v="5"/>
    <x v="3"/>
    <x v="6"/>
    <x v="0"/>
    <x v="0"/>
    <x v="6"/>
    <x v="6"/>
    <x v="4"/>
    <x v="7"/>
    <x v="7"/>
    <x v="7"/>
    <x v="0"/>
    <x v="5"/>
  </r>
  <r>
    <x v="8"/>
    <x v="8"/>
    <x v="8"/>
    <x v="6"/>
    <x v="3"/>
    <x v="7"/>
    <x v="0"/>
    <x v="0"/>
    <x v="7"/>
    <x v="7"/>
    <x v="4"/>
    <x v="8"/>
    <x v="8"/>
    <x v="8"/>
    <x v="0"/>
    <x v="5"/>
  </r>
  <r>
    <x v="9"/>
    <x v="9"/>
    <x v="9"/>
    <x v="7"/>
    <x v="3"/>
    <x v="8"/>
    <x v="0"/>
    <x v="0"/>
    <x v="8"/>
    <x v="8"/>
    <x v="5"/>
    <x v="9"/>
    <x v="9"/>
    <x v="9"/>
    <x v="0"/>
    <x v="6"/>
  </r>
  <r>
    <x v="10"/>
    <x v="10"/>
    <x v="10"/>
    <x v="8"/>
    <x v="1"/>
    <x v="9"/>
    <x v="0"/>
    <x v="0"/>
    <x v="9"/>
    <x v="9"/>
    <x v="6"/>
    <x v="10"/>
    <x v="10"/>
    <x v="10"/>
    <x v="0"/>
    <x v="7"/>
  </r>
  <r>
    <x v="11"/>
    <x v="11"/>
    <x v="11"/>
    <x v="9"/>
    <x v="3"/>
    <x v="10"/>
    <x v="0"/>
    <x v="0"/>
    <x v="10"/>
    <x v="10"/>
    <x v="7"/>
    <x v="11"/>
    <x v="11"/>
    <x v="11"/>
    <x v="0"/>
    <x v="8"/>
  </r>
  <r>
    <x v="12"/>
    <x v="12"/>
    <x v="12"/>
    <x v="10"/>
    <x v="3"/>
    <x v="11"/>
    <x v="0"/>
    <x v="0"/>
    <x v="11"/>
    <x v="11"/>
    <x v="8"/>
    <x v="12"/>
    <x v="12"/>
    <x v="12"/>
    <x v="0"/>
    <x v="5"/>
  </r>
  <r>
    <x v="13"/>
    <x v="13"/>
    <x v="13"/>
    <x v="0"/>
    <x v="3"/>
    <x v="12"/>
    <x v="0"/>
    <x v="0"/>
    <x v="12"/>
    <x v="12"/>
    <x v="9"/>
    <x v="13"/>
    <x v="13"/>
    <x v="13"/>
    <x v="0"/>
    <x v="5"/>
  </r>
  <r>
    <x v="14"/>
    <x v="14"/>
    <x v="14"/>
    <x v="11"/>
    <x v="3"/>
    <x v="13"/>
    <x v="0"/>
    <x v="0"/>
    <x v="13"/>
    <x v="13"/>
    <x v="10"/>
    <x v="14"/>
    <x v="14"/>
    <x v="14"/>
    <x v="0"/>
    <x v="9"/>
  </r>
  <r>
    <x v="15"/>
    <x v="15"/>
    <x v="15"/>
    <x v="12"/>
    <x v="3"/>
    <x v="14"/>
    <x v="0"/>
    <x v="0"/>
    <x v="14"/>
    <x v="14"/>
    <x v="11"/>
    <x v="15"/>
    <x v="15"/>
    <x v="15"/>
    <x v="0"/>
    <x v="10"/>
  </r>
  <r>
    <x v="16"/>
    <x v="16"/>
    <x v="16"/>
    <x v="0"/>
    <x v="0"/>
    <x v="0"/>
    <x v="0"/>
    <x v="0"/>
    <x v="15"/>
    <x v="15"/>
    <x v="12"/>
    <x v="16"/>
    <x v="16"/>
    <x v="16"/>
    <x v="0"/>
    <x v="0"/>
  </r>
  <r>
    <x v="17"/>
    <x v="17"/>
    <x v="17"/>
    <x v="1"/>
    <x v="1"/>
    <x v="15"/>
    <x v="0"/>
    <x v="0"/>
    <x v="16"/>
    <x v="1"/>
    <x v="1"/>
    <x v="17"/>
    <x v="17"/>
    <x v="17"/>
    <x v="0"/>
    <x v="1"/>
  </r>
  <r>
    <x v="18"/>
    <x v="18"/>
    <x v="18"/>
    <x v="13"/>
    <x v="1"/>
    <x v="16"/>
    <x v="0"/>
    <x v="0"/>
    <x v="17"/>
    <x v="16"/>
    <x v="13"/>
    <x v="18"/>
    <x v="18"/>
    <x v="18"/>
    <x v="0"/>
    <x v="5"/>
  </r>
  <r>
    <x v="19"/>
    <x v="19"/>
    <x v="19"/>
    <x v="2"/>
    <x v="2"/>
    <x v="17"/>
    <x v="0"/>
    <x v="0"/>
    <x v="2"/>
    <x v="2"/>
    <x v="2"/>
    <x v="19"/>
    <x v="19"/>
    <x v="19"/>
    <x v="0"/>
    <x v="2"/>
  </r>
  <r>
    <x v="20"/>
    <x v="20"/>
    <x v="20"/>
    <x v="2"/>
    <x v="2"/>
    <x v="18"/>
    <x v="0"/>
    <x v="0"/>
    <x v="3"/>
    <x v="3"/>
    <x v="3"/>
    <x v="20"/>
    <x v="20"/>
    <x v="20"/>
    <x v="0"/>
    <x v="11"/>
  </r>
  <r>
    <x v="21"/>
    <x v="21"/>
    <x v="21"/>
    <x v="2"/>
    <x v="2"/>
    <x v="19"/>
    <x v="0"/>
    <x v="0"/>
    <x v="18"/>
    <x v="17"/>
    <x v="3"/>
    <x v="21"/>
    <x v="21"/>
    <x v="21"/>
    <x v="0"/>
    <x v="5"/>
  </r>
  <r>
    <x v="22"/>
    <x v="22"/>
    <x v="22"/>
    <x v="14"/>
    <x v="4"/>
    <x v="20"/>
    <x v="0"/>
    <x v="0"/>
    <x v="19"/>
    <x v="18"/>
    <x v="14"/>
    <x v="22"/>
    <x v="22"/>
    <x v="22"/>
    <x v="0"/>
    <x v="12"/>
  </r>
  <r>
    <x v="23"/>
    <x v="23"/>
    <x v="23"/>
    <x v="15"/>
    <x v="1"/>
    <x v="9"/>
    <x v="0"/>
    <x v="0"/>
    <x v="20"/>
    <x v="19"/>
    <x v="15"/>
    <x v="23"/>
    <x v="23"/>
    <x v="23"/>
    <x v="0"/>
    <x v="13"/>
  </r>
  <r>
    <x v="24"/>
    <x v="24"/>
    <x v="24"/>
    <x v="0"/>
    <x v="0"/>
    <x v="0"/>
    <x v="0"/>
    <x v="0"/>
    <x v="15"/>
    <x v="15"/>
    <x v="12"/>
    <x v="16"/>
    <x v="16"/>
    <x v="16"/>
    <x v="0"/>
    <x v="0"/>
  </r>
  <r>
    <x v="25"/>
    <x v="25"/>
    <x v="25"/>
    <x v="1"/>
    <x v="1"/>
    <x v="21"/>
    <x v="0"/>
    <x v="0"/>
    <x v="21"/>
    <x v="1"/>
    <x v="16"/>
    <x v="24"/>
    <x v="24"/>
    <x v="24"/>
    <x v="0"/>
    <x v="1"/>
  </r>
  <r>
    <x v="26"/>
    <x v="26"/>
    <x v="26"/>
    <x v="2"/>
    <x v="2"/>
    <x v="22"/>
    <x v="0"/>
    <x v="0"/>
    <x v="2"/>
    <x v="2"/>
    <x v="2"/>
    <x v="25"/>
    <x v="25"/>
    <x v="25"/>
    <x v="0"/>
    <x v="2"/>
  </r>
  <r>
    <x v="27"/>
    <x v="27"/>
    <x v="27"/>
    <x v="2"/>
    <x v="2"/>
    <x v="23"/>
    <x v="0"/>
    <x v="0"/>
    <x v="22"/>
    <x v="20"/>
    <x v="17"/>
    <x v="26"/>
    <x v="26"/>
    <x v="26"/>
    <x v="0"/>
    <x v="14"/>
  </r>
  <r>
    <x v="28"/>
    <x v="28"/>
    <x v="28"/>
    <x v="2"/>
    <x v="2"/>
    <x v="24"/>
    <x v="0"/>
    <x v="0"/>
    <x v="23"/>
    <x v="17"/>
    <x v="3"/>
    <x v="27"/>
    <x v="27"/>
    <x v="27"/>
    <x v="0"/>
    <x v="3"/>
  </r>
  <r>
    <x v="29"/>
    <x v="29"/>
    <x v="29"/>
    <x v="0"/>
    <x v="0"/>
    <x v="0"/>
    <x v="0"/>
    <x v="0"/>
    <x v="15"/>
    <x v="15"/>
    <x v="12"/>
    <x v="16"/>
    <x v="16"/>
    <x v="16"/>
    <x v="0"/>
    <x v="0"/>
  </r>
  <r>
    <x v="30"/>
    <x v="30"/>
    <x v="30"/>
    <x v="2"/>
    <x v="2"/>
    <x v="25"/>
    <x v="0"/>
    <x v="0"/>
    <x v="23"/>
    <x v="17"/>
    <x v="3"/>
    <x v="28"/>
    <x v="28"/>
    <x v="28"/>
    <x v="0"/>
    <x v="3"/>
  </r>
  <r>
    <x v="31"/>
    <x v="31"/>
    <x v="5"/>
    <x v="4"/>
    <x v="3"/>
    <x v="17"/>
    <x v="0"/>
    <x v="0"/>
    <x v="4"/>
    <x v="4"/>
    <x v="4"/>
    <x v="29"/>
    <x v="29"/>
    <x v="29"/>
    <x v="0"/>
    <x v="4"/>
  </r>
  <r>
    <x v="32"/>
    <x v="32"/>
    <x v="31"/>
    <x v="5"/>
    <x v="3"/>
    <x v="9"/>
    <x v="0"/>
    <x v="0"/>
    <x v="5"/>
    <x v="5"/>
    <x v="4"/>
    <x v="30"/>
    <x v="30"/>
    <x v="30"/>
    <x v="0"/>
    <x v="5"/>
  </r>
  <r>
    <x v="33"/>
    <x v="33"/>
    <x v="32"/>
    <x v="16"/>
    <x v="3"/>
    <x v="1"/>
    <x v="0"/>
    <x v="0"/>
    <x v="24"/>
    <x v="11"/>
    <x v="18"/>
    <x v="31"/>
    <x v="31"/>
    <x v="31"/>
    <x v="0"/>
    <x v="15"/>
  </r>
  <r>
    <x v="34"/>
    <x v="34"/>
    <x v="33"/>
    <x v="0"/>
    <x v="0"/>
    <x v="0"/>
    <x v="0"/>
    <x v="0"/>
    <x v="15"/>
    <x v="15"/>
    <x v="12"/>
    <x v="16"/>
    <x v="16"/>
    <x v="16"/>
    <x v="0"/>
    <x v="0"/>
  </r>
  <r>
    <x v="35"/>
    <x v="35"/>
    <x v="34"/>
    <x v="17"/>
    <x v="3"/>
    <x v="26"/>
    <x v="0"/>
    <x v="0"/>
    <x v="25"/>
    <x v="21"/>
    <x v="19"/>
    <x v="32"/>
    <x v="32"/>
    <x v="32"/>
    <x v="0"/>
    <x v="16"/>
  </r>
  <r>
    <x v="36"/>
    <x v="36"/>
    <x v="35"/>
    <x v="17"/>
    <x v="3"/>
    <x v="27"/>
    <x v="0"/>
    <x v="0"/>
    <x v="26"/>
    <x v="21"/>
    <x v="19"/>
    <x v="33"/>
    <x v="33"/>
    <x v="33"/>
    <x v="0"/>
    <x v="5"/>
  </r>
  <r>
    <x v="37"/>
    <x v="37"/>
    <x v="36"/>
    <x v="17"/>
    <x v="3"/>
    <x v="28"/>
    <x v="0"/>
    <x v="0"/>
    <x v="27"/>
    <x v="21"/>
    <x v="19"/>
    <x v="34"/>
    <x v="34"/>
    <x v="34"/>
    <x v="0"/>
    <x v="5"/>
  </r>
  <r>
    <x v="38"/>
    <x v="38"/>
    <x v="37"/>
    <x v="17"/>
    <x v="3"/>
    <x v="29"/>
    <x v="0"/>
    <x v="0"/>
    <x v="28"/>
    <x v="21"/>
    <x v="20"/>
    <x v="35"/>
    <x v="35"/>
    <x v="35"/>
    <x v="0"/>
    <x v="5"/>
  </r>
  <r>
    <x v="39"/>
    <x v="39"/>
    <x v="38"/>
    <x v="0"/>
    <x v="0"/>
    <x v="0"/>
    <x v="0"/>
    <x v="0"/>
    <x v="15"/>
    <x v="15"/>
    <x v="12"/>
    <x v="16"/>
    <x v="16"/>
    <x v="16"/>
    <x v="0"/>
    <x v="0"/>
  </r>
  <r>
    <x v="40"/>
    <x v="40"/>
    <x v="39"/>
    <x v="18"/>
    <x v="3"/>
    <x v="30"/>
    <x v="0"/>
    <x v="0"/>
    <x v="29"/>
    <x v="22"/>
    <x v="7"/>
    <x v="36"/>
    <x v="36"/>
    <x v="36"/>
    <x v="0"/>
    <x v="17"/>
  </r>
  <r>
    <x v="41"/>
    <x v="41"/>
    <x v="40"/>
    <x v="19"/>
    <x v="3"/>
    <x v="31"/>
    <x v="0"/>
    <x v="0"/>
    <x v="30"/>
    <x v="23"/>
    <x v="5"/>
    <x v="37"/>
    <x v="37"/>
    <x v="37"/>
    <x v="0"/>
    <x v="5"/>
  </r>
  <r>
    <x v="42"/>
    <x v="42"/>
    <x v="41"/>
    <x v="0"/>
    <x v="3"/>
    <x v="9"/>
    <x v="0"/>
    <x v="0"/>
    <x v="10"/>
    <x v="10"/>
    <x v="7"/>
    <x v="38"/>
    <x v="38"/>
    <x v="38"/>
    <x v="0"/>
    <x v="8"/>
  </r>
  <r>
    <x v="43"/>
    <x v="43"/>
    <x v="42"/>
    <x v="0"/>
    <x v="0"/>
    <x v="0"/>
    <x v="0"/>
    <x v="0"/>
    <x v="15"/>
    <x v="15"/>
    <x v="12"/>
    <x v="16"/>
    <x v="16"/>
    <x v="16"/>
    <x v="0"/>
    <x v="0"/>
  </r>
  <r>
    <x v="44"/>
    <x v="44"/>
    <x v="43"/>
    <x v="1"/>
    <x v="1"/>
    <x v="32"/>
    <x v="0"/>
    <x v="0"/>
    <x v="31"/>
    <x v="1"/>
    <x v="1"/>
    <x v="39"/>
    <x v="39"/>
    <x v="39"/>
    <x v="0"/>
    <x v="18"/>
  </r>
  <r>
    <x v="45"/>
    <x v="45"/>
    <x v="44"/>
    <x v="1"/>
    <x v="1"/>
    <x v="12"/>
    <x v="0"/>
    <x v="0"/>
    <x v="32"/>
    <x v="1"/>
    <x v="1"/>
    <x v="40"/>
    <x v="40"/>
    <x v="40"/>
    <x v="0"/>
    <x v="1"/>
  </r>
  <r>
    <x v="46"/>
    <x v="46"/>
    <x v="45"/>
    <x v="1"/>
    <x v="1"/>
    <x v="33"/>
    <x v="0"/>
    <x v="0"/>
    <x v="16"/>
    <x v="1"/>
    <x v="1"/>
    <x v="41"/>
    <x v="41"/>
    <x v="41"/>
    <x v="0"/>
    <x v="5"/>
  </r>
  <r>
    <x v="47"/>
    <x v="47"/>
    <x v="46"/>
    <x v="1"/>
    <x v="1"/>
    <x v="34"/>
    <x v="0"/>
    <x v="0"/>
    <x v="21"/>
    <x v="1"/>
    <x v="16"/>
    <x v="42"/>
    <x v="42"/>
    <x v="42"/>
    <x v="0"/>
    <x v="5"/>
  </r>
  <r>
    <x v="48"/>
    <x v="48"/>
    <x v="47"/>
    <x v="1"/>
    <x v="1"/>
    <x v="20"/>
    <x v="0"/>
    <x v="0"/>
    <x v="33"/>
    <x v="1"/>
    <x v="21"/>
    <x v="43"/>
    <x v="43"/>
    <x v="43"/>
    <x v="0"/>
    <x v="5"/>
  </r>
  <r>
    <x v="49"/>
    <x v="49"/>
    <x v="48"/>
    <x v="1"/>
    <x v="1"/>
    <x v="35"/>
    <x v="0"/>
    <x v="0"/>
    <x v="21"/>
    <x v="1"/>
    <x v="16"/>
    <x v="44"/>
    <x v="44"/>
    <x v="44"/>
    <x v="0"/>
    <x v="5"/>
  </r>
  <r>
    <x v="50"/>
    <x v="50"/>
    <x v="49"/>
    <x v="20"/>
    <x v="1"/>
    <x v="36"/>
    <x v="0"/>
    <x v="0"/>
    <x v="34"/>
    <x v="24"/>
    <x v="16"/>
    <x v="45"/>
    <x v="45"/>
    <x v="45"/>
    <x v="0"/>
    <x v="5"/>
  </r>
  <r>
    <x v="51"/>
    <x v="51"/>
    <x v="19"/>
    <x v="2"/>
    <x v="2"/>
    <x v="37"/>
    <x v="0"/>
    <x v="0"/>
    <x v="2"/>
    <x v="2"/>
    <x v="2"/>
    <x v="46"/>
    <x v="46"/>
    <x v="46"/>
    <x v="0"/>
    <x v="2"/>
  </r>
  <r>
    <x v="52"/>
    <x v="52"/>
    <x v="50"/>
    <x v="2"/>
    <x v="2"/>
    <x v="34"/>
    <x v="0"/>
    <x v="0"/>
    <x v="3"/>
    <x v="3"/>
    <x v="3"/>
    <x v="47"/>
    <x v="47"/>
    <x v="47"/>
    <x v="0"/>
    <x v="3"/>
  </r>
  <r>
    <x v="53"/>
    <x v="53"/>
    <x v="51"/>
    <x v="2"/>
    <x v="2"/>
    <x v="38"/>
    <x v="0"/>
    <x v="0"/>
    <x v="35"/>
    <x v="25"/>
    <x v="22"/>
    <x v="48"/>
    <x v="48"/>
    <x v="48"/>
    <x v="0"/>
    <x v="5"/>
  </r>
  <r>
    <x v="54"/>
    <x v="54"/>
    <x v="10"/>
    <x v="0"/>
    <x v="1"/>
    <x v="39"/>
    <x v="0"/>
    <x v="0"/>
    <x v="9"/>
    <x v="9"/>
    <x v="6"/>
    <x v="49"/>
    <x v="49"/>
    <x v="49"/>
    <x v="0"/>
    <x v="7"/>
  </r>
  <r>
    <x v="55"/>
    <x v="55"/>
    <x v="52"/>
    <x v="1"/>
    <x v="1"/>
    <x v="19"/>
    <x v="0"/>
    <x v="0"/>
    <x v="16"/>
    <x v="1"/>
    <x v="1"/>
    <x v="50"/>
    <x v="50"/>
    <x v="50"/>
    <x v="0"/>
    <x v="1"/>
  </r>
  <r>
    <x v="56"/>
    <x v="56"/>
    <x v="53"/>
    <x v="2"/>
    <x v="2"/>
    <x v="40"/>
    <x v="0"/>
    <x v="0"/>
    <x v="2"/>
    <x v="2"/>
    <x v="2"/>
    <x v="51"/>
    <x v="51"/>
    <x v="51"/>
    <x v="0"/>
    <x v="2"/>
  </r>
  <r>
    <x v="57"/>
    <x v="57"/>
    <x v="54"/>
    <x v="0"/>
    <x v="3"/>
    <x v="41"/>
    <x v="0"/>
    <x v="0"/>
    <x v="36"/>
    <x v="26"/>
    <x v="23"/>
    <x v="52"/>
    <x v="52"/>
    <x v="52"/>
    <x v="0"/>
    <x v="7"/>
  </r>
  <r>
    <x v="58"/>
    <x v="58"/>
    <x v="55"/>
    <x v="0"/>
    <x v="3"/>
    <x v="41"/>
    <x v="0"/>
    <x v="0"/>
    <x v="37"/>
    <x v="27"/>
    <x v="24"/>
    <x v="53"/>
    <x v="53"/>
    <x v="53"/>
    <x v="0"/>
    <x v="19"/>
  </r>
  <r>
    <x v="59"/>
    <x v="59"/>
    <x v="56"/>
    <x v="0"/>
    <x v="3"/>
    <x v="42"/>
    <x v="0"/>
    <x v="0"/>
    <x v="38"/>
    <x v="28"/>
    <x v="10"/>
    <x v="54"/>
    <x v="52"/>
    <x v="54"/>
    <x v="0"/>
    <x v="8"/>
  </r>
  <r>
    <x v="60"/>
    <x v="60"/>
    <x v="57"/>
    <x v="21"/>
    <x v="3"/>
    <x v="43"/>
    <x v="0"/>
    <x v="0"/>
    <x v="14"/>
    <x v="14"/>
    <x v="11"/>
    <x v="55"/>
    <x v="54"/>
    <x v="22"/>
    <x v="0"/>
    <x v="1"/>
  </r>
  <r>
    <x v="61"/>
    <x v="61"/>
    <x v="58"/>
    <x v="0"/>
    <x v="0"/>
    <x v="0"/>
    <x v="0"/>
    <x v="0"/>
    <x v="15"/>
    <x v="15"/>
    <x v="12"/>
    <x v="16"/>
    <x v="16"/>
    <x v="16"/>
    <x v="0"/>
    <x v="0"/>
  </r>
  <r>
    <x v="62"/>
    <x v="62"/>
    <x v="59"/>
    <x v="22"/>
    <x v="1"/>
    <x v="44"/>
    <x v="0"/>
    <x v="0"/>
    <x v="39"/>
    <x v="29"/>
    <x v="8"/>
    <x v="56"/>
    <x v="55"/>
    <x v="55"/>
    <x v="0"/>
    <x v="20"/>
  </r>
  <r>
    <x v="63"/>
    <x v="63"/>
    <x v="60"/>
    <x v="2"/>
    <x v="2"/>
    <x v="45"/>
    <x v="0"/>
    <x v="0"/>
    <x v="2"/>
    <x v="2"/>
    <x v="2"/>
    <x v="57"/>
    <x v="56"/>
    <x v="56"/>
    <x v="0"/>
    <x v="2"/>
  </r>
  <r>
    <x v="64"/>
    <x v="64"/>
    <x v="61"/>
    <x v="23"/>
    <x v="1"/>
    <x v="46"/>
    <x v="0"/>
    <x v="0"/>
    <x v="40"/>
    <x v="30"/>
    <x v="5"/>
    <x v="58"/>
    <x v="57"/>
    <x v="57"/>
    <x v="0"/>
    <x v="21"/>
  </r>
  <r>
    <x v="65"/>
    <x v="65"/>
    <x v="62"/>
    <x v="0"/>
    <x v="0"/>
    <x v="0"/>
    <x v="0"/>
    <x v="0"/>
    <x v="15"/>
    <x v="15"/>
    <x v="12"/>
    <x v="59"/>
    <x v="58"/>
    <x v="58"/>
    <x v="0"/>
    <x v="0"/>
  </r>
  <r>
    <x v="66"/>
    <x v="66"/>
    <x v="63"/>
    <x v="0"/>
    <x v="0"/>
    <x v="0"/>
    <x v="0"/>
    <x v="0"/>
    <x v="15"/>
    <x v="15"/>
    <x v="12"/>
    <x v="16"/>
    <x v="16"/>
    <x v="16"/>
    <x v="0"/>
    <x v="0"/>
  </r>
  <r>
    <x v="67"/>
    <x v="67"/>
    <x v="64"/>
    <x v="0"/>
    <x v="5"/>
    <x v="47"/>
    <x v="1"/>
    <x v="1"/>
    <x v="41"/>
    <x v="15"/>
    <x v="25"/>
    <x v="60"/>
    <x v="16"/>
    <x v="59"/>
    <x v="0"/>
    <x v="22"/>
  </r>
  <r>
    <x v="68"/>
    <x v="68"/>
    <x v="65"/>
    <x v="0"/>
    <x v="6"/>
    <x v="24"/>
    <x v="2"/>
    <x v="2"/>
    <x v="41"/>
    <x v="15"/>
    <x v="25"/>
    <x v="61"/>
    <x v="16"/>
    <x v="60"/>
    <x v="0"/>
    <x v="5"/>
  </r>
  <r>
    <x v="69"/>
    <x v="69"/>
    <x v="66"/>
    <x v="0"/>
    <x v="6"/>
    <x v="24"/>
    <x v="3"/>
    <x v="3"/>
    <x v="41"/>
    <x v="15"/>
    <x v="25"/>
    <x v="61"/>
    <x v="16"/>
    <x v="60"/>
    <x v="0"/>
    <x v="5"/>
  </r>
  <r>
    <x v="70"/>
    <x v="70"/>
    <x v="67"/>
    <x v="0"/>
    <x v="6"/>
    <x v="24"/>
    <x v="4"/>
    <x v="4"/>
    <x v="41"/>
    <x v="15"/>
    <x v="25"/>
    <x v="61"/>
    <x v="16"/>
    <x v="60"/>
    <x v="0"/>
    <x v="5"/>
  </r>
  <r>
    <x v="71"/>
    <x v="71"/>
    <x v="68"/>
    <x v="0"/>
    <x v="6"/>
    <x v="24"/>
    <x v="5"/>
    <x v="5"/>
    <x v="41"/>
    <x v="15"/>
    <x v="25"/>
    <x v="61"/>
    <x v="16"/>
    <x v="60"/>
    <x v="0"/>
    <x v="5"/>
  </r>
  <r>
    <x v="72"/>
    <x v="72"/>
    <x v="69"/>
    <x v="0"/>
    <x v="6"/>
    <x v="24"/>
    <x v="6"/>
    <x v="6"/>
    <x v="41"/>
    <x v="15"/>
    <x v="25"/>
    <x v="61"/>
    <x v="16"/>
    <x v="60"/>
    <x v="0"/>
    <x v="5"/>
  </r>
  <r>
    <x v="73"/>
    <x v="73"/>
    <x v="70"/>
    <x v="0"/>
    <x v="6"/>
    <x v="24"/>
    <x v="7"/>
    <x v="7"/>
    <x v="41"/>
    <x v="15"/>
    <x v="25"/>
    <x v="61"/>
    <x v="16"/>
    <x v="60"/>
    <x v="0"/>
    <x v="5"/>
  </r>
  <r>
    <x v="74"/>
    <x v="74"/>
    <x v="71"/>
    <x v="0"/>
    <x v="6"/>
    <x v="24"/>
    <x v="8"/>
    <x v="8"/>
    <x v="41"/>
    <x v="15"/>
    <x v="25"/>
    <x v="61"/>
    <x v="16"/>
    <x v="60"/>
    <x v="0"/>
    <x v="5"/>
  </r>
  <r>
    <x v="75"/>
    <x v="75"/>
    <x v="72"/>
    <x v="0"/>
    <x v="6"/>
    <x v="24"/>
    <x v="6"/>
    <x v="6"/>
    <x v="41"/>
    <x v="15"/>
    <x v="25"/>
    <x v="61"/>
    <x v="16"/>
    <x v="60"/>
    <x v="0"/>
    <x v="5"/>
  </r>
  <r>
    <x v="76"/>
    <x v="76"/>
    <x v="73"/>
    <x v="0"/>
    <x v="6"/>
    <x v="24"/>
    <x v="8"/>
    <x v="8"/>
    <x v="41"/>
    <x v="15"/>
    <x v="25"/>
    <x v="61"/>
    <x v="16"/>
    <x v="60"/>
    <x v="0"/>
    <x v="5"/>
  </r>
  <r>
    <x v="77"/>
    <x v="77"/>
    <x v="74"/>
    <x v="0"/>
    <x v="6"/>
    <x v="24"/>
    <x v="9"/>
    <x v="9"/>
    <x v="41"/>
    <x v="15"/>
    <x v="25"/>
    <x v="61"/>
    <x v="16"/>
    <x v="60"/>
    <x v="0"/>
    <x v="5"/>
  </r>
  <r>
    <x v="78"/>
    <x v="78"/>
    <x v="75"/>
    <x v="0"/>
    <x v="6"/>
    <x v="24"/>
    <x v="1"/>
    <x v="10"/>
    <x v="41"/>
    <x v="15"/>
    <x v="25"/>
    <x v="61"/>
    <x v="16"/>
    <x v="60"/>
    <x v="0"/>
    <x v="5"/>
  </r>
  <r>
    <x v="79"/>
    <x v="79"/>
    <x v="76"/>
    <x v="0"/>
    <x v="6"/>
    <x v="24"/>
    <x v="10"/>
    <x v="11"/>
    <x v="41"/>
    <x v="15"/>
    <x v="25"/>
    <x v="61"/>
    <x v="16"/>
    <x v="60"/>
    <x v="0"/>
    <x v="5"/>
  </r>
  <r>
    <x v="80"/>
    <x v="80"/>
    <x v="77"/>
    <x v="0"/>
    <x v="6"/>
    <x v="24"/>
    <x v="5"/>
    <x v="5"/>
    <x v="41"/>
    <x v="15"/>
    <x v="25"/>
    <x v="61"/>
    <x v="16"/>
    <x v="60"/>
    <x v="0"/>
    <x v="5"/>
  </r>
  <r>
    <x v="81"/>
    <x v="81"/>
    <x v="78"/>
    <x v="0"/>
    <x v="6"/>
    <x v="48"/>
    <x v="11"/>
    <x v="12"/>
    <x v="42"/>
    <x v="15"/>
    <x v="26"/>
    <x v="62"/>
    <x v="16"/>
    <x v="61"/>
    <x v="0"/>
    <x v="5"/>
  </r>
  <r>
    <x v="82"/>
    <x v="82"/>
    <x v="79"/>
    <x v="0"/>
    <x v="7"/>
    <x v="24"/>
    <x v="12"/>
    <x v="13"/>
    <x v="43"/>
    <x v="15"/>
    <x v="14"/>
    <x v="63"/>
    <x v="16"/>
    <x v="62"/>
    <x v="0"/>
    <x v="5"/>
  </r>
  <r>
    <x v="83"/>
    <x v="83"/>
    <x v="80"/>
    <x v="0"/>
    <x v="7"/>
    <x v="41"/>
    <x v="9"/>
    <x v="14"/>
    <x v="44"/>
    <x v="15"/>
    <x v="27"/>
    <x v="64"/>
    <x v="16"/>
    <x v="63"/>
    <x v="0"/>
    <x v="5"/>
  </r>
  <r>
    <x v="84"/>
    <x v="84"/>
    <x v="81"/>
    <x v="0"/>
    <x v="6"/>
    <x v="24"/>
    <x v="13"/>
    <x v="12"/>
    <x v="44"/>
    <x v="15"/>
    <x v="27"/>
    <x v="65"/>
    <x v="16"/>
    <x v="61"/>
    <x v="0"/>
    <x v="5"/>
  </r>
  <r>
    <x v="85"/>
    <x v="85"/>
    <x v="82"/>
    <x v="0"/>
    <x v="6"/>
    <x v="24"/>
    <x v="12"/>
    <x v="13"/>
    <x v="44"/>
    <x v="15"/>
    <x v="27"/>
    <x v="65"/>
    <x v="16"/>
    <x v="61"/>
    <x v="0"/>
    <x v="5"/>
  </r>
  <r>
    <x v="86"/>
    <x v="86"/>
    <x v="83"/>
    <x v="0"/>
    <x v="8"/>
    <x v="24"/>
    <x v="7"/>
    <x v="7"/>
    <x v="44"/>
    <x v="15"/>
    <x v="27"/>
    <x v="65"/>
    <x v="16"/>
    <x v="61"/>
    <x v="0"/>
    <x v="5"/>
  </r>
  <r>
    <x v="87"/>
    <x v="87"/>
    <x v="84"/>
    <x v="0"/>
    <x v="7"/>
    <x v="41"/>
    <x v="14"/>
    <x v="15"/>
    <x v="44"/>
    <x v="15"/>
    <x v="27"/>
    <x v="64"/>
    <x v="16"/>
    <x v="63"/>
    <x v="0"/>
    <x v="5"/>
  </r>
  <r>
    <x v="88"/>
    <x v="88"/>
    <x v="85"/>
    <x v="0"/>
    <x v="7"/>
    <x v="24"/>
    <x v="15"/>
    <x v="16"/>
    <x v="44"/>
    <x v="15"/>
    <x v="27"/>
    <x v="65"/>
    <x v="16"/>
    <x v="61"/>
    <x v="0"/>
    <x v="5"/>
  </r>
  <r>
    <x v="89"/>
    <x v="89"/>
    <x v="86"/>
    <x v="0"/>
    <x v="7"/>
    <x v="24"/>
    <x v="9"/>
    <x v="9"/>
    <x v="44"/>
    <x v="15"/>
    <x v="27"/>
    <x v="65"/>
    <x v="16"/>
    <x v="61"/>
    <x v="0"/>
    <x v="5"/>
  </r>
  <r>
    <x v="90"/>
    <x v="90"/>
    <x v="87"/>
    <x v="0"/>
    <x v="7"/>
    <x v="24"/>
    <x v="15"/>
    <x v="16"/>
    <x v="44"/>
    <x v="15"/>
    <x v="27"/>
    <x v="65"/>
    <x v="16"/>
    <x v="61"/>
    <x v="0"/>
    <x v="5"/>
  </r>
  <r>
    <x v="91"/>
    <x v="91"/>
    <x v="88"/>
    <x v="0"/>
    <x v="7"/>
    <x v="24"/>
    <x v="9"/>
    <x v="9"/>
    <x v="44"/>
    <x v="15"/>
    <x v="27"/>
    <x v="65"/>
    <x v="16"/>
    <x v="61"/>
    <x v="0"/>
    <x v="5"/>
  </r>
  <r>
    <x v="92"/>
    <x v="92"/>
    <x v="89"/>
    <x v="0"/>
    <x v="5"/>
    <x v="41"/>
    <x v="14"/>
    <x v="15"/>
    <x v="44"/>
    <x v="15"/>
    <x v="27"/>
    <x v="64"/>
    <x v="16"/>
    <x v="63"/>
    <x v="0"/>
    <x v="5"/>
  </r>
  <r>
    <x v="93"/>
    <x v="93"/>
    <x v="90"/>
    <x v="0"/>
    <x v="7"/>
    <x v="24"/>
    <x v="16"/>
    <x v="17"/>
    <x v="44"/>
    <x v="15"/>
    <x v="27"/>
    <x v="65"/>
    <x v="16"/>
    <x v="61"/>
    <x v="0"/>
    <x v="5"/>
  </r>
  <r>
    <x v="94"/>
    <x v="94"/>
    <x v="91"/>
    <x v="0"/>
    <x v="7"/>
    <x v="24"/>
    <x v="17"/>
    <x v="18"/>
    <x v="44"/>
    <x v="15"/>
    <x v="27"/>
    <x v="65"/>
    <x v="16"/>
    <x v="61"/>
    <x v="0"/>
    <x v="5"/>
  </r>
  <r>
    <x v="95"/>
    <x v="95"/>
    <x v="92"/>
    <x v="0"/>
    <x v="6"/>
    <x v="24"/>
    <x v="0"/>
    <x v="0"/>
    <x v="45"/>
    <x v="15"/>
    <x v="28"/>
    <x v="66"/>
    <x v="16"/>
    <x v="64"/>
    <x v="0"/>
    <x v="5"/>
  </r>
  <r>
    <x v="96"/>
    <x v="96"/>
    <x v="93"/>
    <x v="0"/>
    <x v="6"/>
    <x v="24"/>
    <x v="0"/>
    <x v="0"/>
    <x v="46"/>
    <x v="15"/>
    <x v="29"/>
    <x v="67"/>
    <x v="16"/>
    <x v="65"/>
    <x v="0"/>
    <x v="5"/>
  </r>
  <r>
    <x v="97"/>
    <x v="97"/>
    <x v="94"/>
    <x v="0"/>
    <x v="6"/>
    <x v="49"/>
    <x v="18"/>
    <x v="19"/>
    <x v="47"/>
    <x v="15"/>
    <x v="30"/>
    <x v="68"/>
    <x v="16"/>
    <x v="66"/>
    <x v="0"/>
    <x v="23"/>
  </r>
  <r>
    <x v="98"/>
    <x v="98"/>
    <x v="95"/>
    <x v="0"/>
    <x v="6"/>
    <x v="24"/>
    <x v="14"/>
    <x v="14"/>
    <x v="48"/>
    <x v="15"/>
    <x v="15"/>
    <x v="69"/>
    <x v="16"/>
    <x v="67"/>
    <x v="0"/>
    <x v="24"/>
  </r>
  <r>
    <x v="99"/>
    <x v="99"/>
    <x v="96"/>
    <x v="0"/>
    <x v="6"/>
    <x v="24"/>
    <x v="0"/>
    <x v="0"/>
    <x v="49"/>
    <x v="15"/>
    <x v="31"/>
    <x v="70"/>
    <x v="16"/>
    <x v="68"/>
    <x v="0"/>
    <x v="25"/>
  </r>
  <r>
    <x v="100"/>
    <x v="100"/>
    <x v="97"/>
    <x v="0"/>
    <x v="5"/>
    <x v="48"/>
    <x v="0"/>
    <x v="0"/>
    <x v="50"/>
    <x v="15"/>
    <x v="32"/>
    <x v="71"/>
    <x v="16"/>
    <x v="68"/>
    <x v="0"/>
    <x v="5"/>
  </r>
  <r>
    <x v="101"/>
    <x v="101"/>
    <x v="98"/>
    <x v="0"/>
    <x v="5"/>
    <x v="24"/>
    <x v="0"/>
    <x v="0"/>
    <x v="51"/>
    <x v="15"/>
    <x v="33"/>
    <x v="72"/>
    <x v="16"/>
    <x v="69"/>
    <x v="0"/>
    <x v="26"/>
  </r>
  <r>
    <x v="102"/>
    <x v="102"/>
    <x v="99"/>
    <x v="0"/>
    <x v="5"/>
    <x v="24"/>
    <x v="0"/>
    <x v="0"/>
    <x v="52"/>
    <x v="15"/>
    <x v="34"/>
    <x v="73"/>
    <x v="16"/>
    <x v="70"/>
    <x v="0"/>
    <x v="5"/>
  </r>
  <r>
    <x v="103"/>
    <x v="103"/>
    <x v="100"/>
    <x v="24"/>
    <x v="6"/>
    <x v="48"/>
    <x v="0"/>
    <x v="0"/>
    <x v="50"/>
    <x v="15"/>
    <x v="32"/>
    <x v="71"/>
    <x v="16"/>
    <x v="68"/>
    <x v="0"/>
    <x v="5"/>
  </r>
  <r>
    <x v="104"/>
    <x v="104"/>
    <x v="101"/>
    <x v="0"/>
    <x v="5"/>
    <x v="48"/>
    <x v="0"/>
    <x v="0"/>
    <x v="53"/>
    <x v="15"/>
    <x v="34"/>
    <x v="74"/>
    <x v="16"/>
    <x v="71"/>
    <x v="0"/>
    <x v="5"/>
  </r>
  <r>
    <x v="105"/>
    <x v="105"/>
    <x v="102"/>
    <x v="0"/>
    <x v="0"/>
    <x v="0"/>
    <x v="0"/>
    <x v="0"/>
    <x v="15"/>
    <x v="15"/>
    <x v="12"/>
    <x v="16"/>
    <x v="16"/>
    <x v="16"/>
    <x v="0"/>
    <x v="0"/>
  </r>
  <r>
    <x v="106"/>
    <x v="106"/>
    <x v="23"/>
    <x v="15"/>
    <x v="1"/>
    <x v="2"/>
    <x v="0"/>
    <x v="0"/>
    <x v="54"/>
    <x v="19"/>
    <x v="15"/>
    <x v="75"/>
    <x v="45"/>
    <x v="72"/>
    <x v="0"/>
    <x v="13"/>
  </r>
  <r>
    <x v="107"/>
    <x v="107"/>
    <x v="103"/>
    <x v="2"/>
    <x v="2"/>
    <x v="50"/>
    <x v="0"/>
    <x v="0"/>
    <x v="55"/>
    <x v="31"/>
    <x v="35"/>
    <x v="76"/>
    <x v="59"/>
    <x v="73"/>
    <x v="0"/>
    <x v="27"/>
  </r>
  <r>
    <x v="108"/>
    <x v="108"/>
    <x v="104"/>
    <x v="0"/>
    <x v="0"/>
    <x v="0"/>
    <x v="0"/>
    <x v="0"/>
    <x v="15"/>
    <x v="15"/>
    <x v="12"/>
    <x v="77"/>
    <x v="60"/>
    <x v="74"/>
    <x v="0"/>
    <x v="0"/>
  </r>
  <r>
    <x v="109"/>
    <x v="109"/>
    <x v="63"/>
    <x v="0"/>
    <x v="0"/>
    <x v="0"/>
    <x v="0"/>
    <x v="0"/>
    <x v="15"/>
    <x v="15"/>
    <x v="12"/>
    <x v="16"/>
    <x v="16"/>
    <x v="16"/>
    <x v="0"/>
    <x v="0"/>
  </r>
  <r>
    <x v="110"/>
    <x v="110"/>
    <x v="105"/>
    <x v="25"/>
    <x v="5"/>
    <x v="48"/>
    <x v="0"/>
    <x v="0"/>
    <x v="56"/>
    <x v="15"/>
    <x v="36"/>
    <x v="78"/>
    <x v="16"/>
    <x v="75"/>
    <x v="0"/>
    <x v="28"/>
  </r>
  <r>
    <x v="111"/>
    <x v="111"/>
    <x v="105"/>
    <x v="26"/>
    <x v="5"/>
    <x v="41"/>
    <x v="0"/>
    <x v="0"/>
    <x v="57"/>
    <x v="15"/>
    <x v="37"/>
    <x v="79"/>
    <x v="16"/>
    <x v="76"/>
    <x v="0"/>
    <x v="5"/>
  </r>
  <r>
    <x v="112"/>
    <x v="112"/>
    <x v="105"/>
    <x v="27"/>
    <x v="5"/>
    <x v="41"/>
    <x v="0"/>
    <x v="0"/>
    <x v="58"/>
    <x v="15"/>
    <x v="38"/>
    <x v="80"/>
    <x v="16"/>
    <x v="77"/>
    <x v="0"/>
    <x v="5"/>
  </r>
  <r>
    <x v="113"/>
    <x v="113"/>
    <x v="106"/>
    <x v="28"/>
    <x v="7"/>
    <x v="48"/>
    <x v="0"/>
    <x v="0"/>
    <x v="59"/>
    <x v="15"/>
    <x v="8"/>
    <x v="81"/>
    <x v="16"/>
    <x v="78"/>
    <x v="0"/>
    <x v="5"/>
  </r>
  <r>
    <x v="114"/>
    <x v="114"/>
    <x v="106"/>
    <x v="29"/>
    <x v="7"/>
    <x v="51"/>
    <x v="0"/>
    <x v="0"/>
    <x v="60"/>
    <x v="15"/>
    <x v="7"/>
    <x v="82"/>
    <x v="16"/>
    <x v="79"/>
    <x v="0"/>
    <x v="5"/>
  </r>
  <r>
    <x v="115"/>
    <x v="115"/>
    <x v="107"/>
    <x v="0"/>
    <x v="7"/>
    <x v="51"/>
    <x v="0"/>
    <x v="0"/>
    <x v="61"/>
    <x v="15"/>
    <x v="27"/>
    <x v="83"/>
    <x v="16"/>
    <x v="64"/>
    <x v="0"/>
    <x v="5"/>
  </r>
  <r>
    <x v="116"/>
    <x v="116"/>
    <x v="108"/>
    <x v="0"/>
    <x v="9"/>
    <x v="52"/>
    <x v="0"/>
    <x v="0"/>
    <x v="62"/>
    <x v="15"/>
    <x v="39"/>
    <x v="84"/>
    <x v="16"/>
    <x v="67"/>
    <x v="0"/>
    <x v="23"/>
  </r>
  <r>
    <x v="117"/>
    <x v="117"/>
    <x v="109"/>
    <x v="0"/>
    <x v="9"/>
    <x v="53"/>
    <x v="0"/>
    <x v="0"/>
    <x v="62"/>
    <x v="15"/>
    <x v="39"/>
    <x v="80"/>
    <x v="16"/>
    <x v="77"/>
    <x v="0"/>
    <x v="5"/>
  </r>
  <r>
    <x v="118"/>
    <x v="118"/>
    <x v="110"/>
    <x v="0"/>
    <x v="9"/>
    <x v="9"/>
    <x v="0"/>
    <x v="0"/>
    <x v="60"/>
    <x v="15"/>
    <x v="7"/>
    <x v="85"/>
    <x v="16"/>
    <x v="38"/>
    <x v="0"/>
    <x v="5"/>
  </r>
  <r>
    <x v="119"/>
    <x v="119"/>
    <x v="102"/>
    <x v="0"/>
    <x v="0"/>
    <x v="0"/>
    <x v="0"/>
    <x v="0"/>
    <x v="15"/>
    <x v="15"/>
    <x v="12"/>
    <x v="16"/>
    <x v="16"/>
    <x v="16"/>
    <x v="0"/>
    <x v="0"/>
  </r>
  <r>
    <x v="120"/>
    <x v="120"/>
    <x v="111"/>
    <x v="2"/>
    <x v="2"/>
    <x v="54"/>
    <x v="0"/>
    <x v="0"/>
    <x v="63"/>
    <x v="32"/>
    <x v="40"/>
    <x v="86"/>
    <x v="61"/>
    <x v="80"/>
    <x v="0"/>
    <x v="29"/>
  </r>
  <r>
    <x v="121"/>
    <x v="121"/>
    <x v="112"/>
    <x v="2"/>
    <x v="2"/>
    <x v="55"/>
    <x v="0"/>
    <x v="0"/>
    <x v="64"/>
    <x v="33"/>
    <x v="35"/>
    <x v="87"/>
    <x v="62"/>
    <x v="81"/>
    <x v="0"/>
    <x v="30"/>
  </r>
  <r>
    <x v="122"/>
    <x v="122"/>
    <x v="113"/>
    <x v="0"/>
    <x v="0"/>
    <x v="0"/>
    <x v="0"/>
    <x v="0"/>
    <x v="15"/>
    <x v="15"/>
    <x v="12"/>
    <x v="88"/>
    <x v="45"/>
    <x v="82"/>
    <x v="0"/>
    <x v="0"/>
  </r>
  <r>
    <x v="123"/>
    <x v="123"/>
    <x v="63"/>
    <x v="0"/>
    <x v="0"/>
    <x v="0"/>
    <x v="0"/>
    <x v="0"/>
    <x v="15"/>
    <x v="15"/>
    <x v="12"/>
    <x v="16"/>
    <x v="16"/>
    <x v="16"/>
    <x v="0"/>
    <x v="0"/>
  </r>
  <r>
    <x v="124"/>
    <x v="124"/>
    <x v="114"/>
    <x v="30"/>
    <x v="7"/>
    <x v="48"/>
    <x v="0"/>
    <x v="0"/>
    <x v="65"/>
    <x v="15"/>
    <x v="41"/>
    <x v="89"/>
    <x v="16"/>
    <x v="83"/>
    <x v="0"/>
    <x v="28"/>
  </r>
  <r>
    <x v="125"/>
    <x v="125"/>
    <x v="115"/>
    <x v="31"/>
    <x v="7"/>
    <x v="41"/>
    <x v="0"/>
    <x v="0"/>
    <x v="66"/>
    <x v="15"/>
    <x v="30"/>
    <x v="90"/>
    <x v="16"/>
    <x v="84"/>
    <x v="0"/>
    <x v="5"/>
  </r>
  <r>
    <x v="126"/>
    <x v="126"/>
    <x v="115"/>
    <x v="32"/>
    <x v="7"/>
    <x v="24"/>
    <x v="0"/>
    <x v="0"/>
    <x v="67"/>
    <x v="15"/>
    <x v="9"/>
    <x v="81"/>
    <x v="16"/>
    <x v="78"/>
    <x v="0"/>
    <x v="5"/>
  </r>
  <r>
    <x v="127"/>
    <x v="127"/>
    <x v="115"/>
    <x v="29"/>
    <x v="7"/>
    <x v="42"/>
    <x v="0"/>
    <x v="0"/>
    <x v="60"/>
    <x v="15"/>
    <x v="7"/>
    <x v="91"/>
    <x v="16"/>
    <x v="85"/>
    <x v="0"/>
    <x v="5"/>
  </r>
  <r>
    <x v="128"/>
    <x v="128"/>
    <x v="115"/>
    <x v="33"/>
    <x v="7"/>
    <x v="53"/>
    <x v="0"/>
    <x v="0"/>
    <x v="68"/>
    <x v="15"/>
    <x v="11"/>
    <x v="79"/>
    <x v="16"/>
    <x v="76"/>
    <x v="0"/>
    <x v="5"/>
  </r>
  <r>
    <x v="129"/>
    <x v="129"/>
    <x v="102"/>
    <x v="0"/>
    <x v="0"/>
    <x v="0"/>
    <x v="0"/>
    <x v="0"/>
    <x v="15"/>
    <x v="15"/>
    <x v="12"/>
    <x v="16"/>
    <x v="16"/>
    <x v="16"/>
    <x v="0"/>
    <x v="0"/>
  </r>
  <r>
    <x v="130"/>
    <x v="130"/>
    <x v="111"/>
    <x v="2"/>
    <x v="2"/>
    <x v="56"/>
    <x v="0"/>
    <x v="0"/>
    <x v="63"/>
    <x v="32"/>
    <x v="40"/>
    <x v="92"/>
    <x v="45"/>
    <x v="86"/>
    <x v="0"/>
    <x v="29"/>
  </r>
  <r>
    <x v="131"/>
    <x v="131"/>
    <x v="116"/>
    <x v="0"/>
    <x v="0"/>
    <x v="0"/>
    <x v="0"/>
    <x v="0"/>
    <x v="15"/>
    <x v="15"/>
    <x v="12"/>
    <x v="93"/>
    <x v="63"/>
    <x v="87"/>
    <x v="0"/>
    <x v="0"/>
  </r>
  <r>
    <x v="132"/>
    <x v="132"/>
    <x v="102"/>
    <x v="0"/>
    <x v="0"/>
    <x v="0"/>
    <x v="0"/>
    <x v="0"/>
    <x v="15"/>
    <x v="15"/>
    <x v="12"/>
    <x v="16"/>
    <x v="16"/>
    <x v="16"/>
    <x v="0"/>
    <x v="0"/>
  </r>
  <r>
    <x v="133"/>
    <x v="133"/>
    <x v="117"/>
    <x v="2"/>
    <x v="2"/>
    <x v="57"/>
    <x v="0"/>
    <x v="0"/>
    <x v="69"/>
    <x v="34"/>
    <x v="40"/>
    <x v="94"/>
    <x v="64"/>
    <x v="88"/>
    <x v="0"/>
    <x v="29"/>
  </r>
  <r>
    <x v="134"/>
    <x v="134"/>
    <x v="118"/>
    <x v="2"/>
    <x v="2"/>
    <x v="58"/>
    <x v="0"/>
    <x v="0"/>
    <x v="70"/>
    <x v="35"/>
    <x v="40"/>
    <x v="95"/>
    <x v="65"/>
    <x v="89"/>
    <x v="0"/>
    <x v="5"/>
  </r>
  <r>
    <x v="135"/>
    <x v="135"/>
    <x v="119"/>
    <x v="2"/>
    <x v="2"/>
    <x v="59"/>
    <x v="0"/>
    <x v="0"/>
    <x v="69"/>
    <x v="34"/>
    <x v="40"/>
    <x v="96"/>
    <x v="66"/>
    <x v="90"/>
    <x v="0"/>
    <x v="31"/>
  </r>
  <r>
    <x v="136"/>
    <x v="136"/>
    <x v="120"/>
    <x v="34"/>
    <x v="10"/>
    <x v="9"/>
    <x v="0"/>
    <x v="0"/>
    <x v="71"/>
    <x v="36"/>
    <x v="42"/>
    <x v="97"/>
    <x v="67"/>
    <x v="91"/>
    <x v="0"/>
    <x v="32"/>
  </r>
  <r>
    <x v="137"/>
    <x v="137"/>
    <x v="120"/>
    <x v="35"/>
    <x v="10"/>
    <x v="17"/>
    <x v="0"/>
    <x v="0"/>
    <x v="72"/>
    <x v="37"/>
    <x v="43"/>
    <x v="98"/>
    <x v="68"/>
    <x v="92"/>
    <x v="0"/>
    <x v="5"/>
  </r>
  <r>
    <x v="138"/>
    <x v="138"/>
    <x v="120"/>
    <x v="36"/>
    <x v="10"/>
    <x v="60"/>
    <x v="0"/>
    <x v="0"/>
    <x v="73"/>
    <x v="38"/>
    <x v="44"/>
    <x v="99"/>
    <x v="69"/>
    <x v="93"/>
    <x v="0"/>
    <x v="5"/>
  </r>
  <r>
    <x v="139"/>
    <x v="139"/>
    <x v="121"/>
    <x v="0"/>
    <x v="6"/>
    <x v="24"/>
    <x v="0"/>
    <x v="0"/>
    <x v="74"/>
    <x v="24"/>
    <x v="15"/>
    <x v="100"/>
    <x v="70"/>
    <x v="67"/>
    <x v="0"/>
    <x v="33"/>
  </r>
  <r>
    <x v="140"/>
    <x v="140"/>
    <x v="122"/>
    <x v="37"/>
    <x v="11"/>
    <x v="24"/>
    <x v="0"/>
    <x v="0"/>
    <x v="75"/>
    <x v="39"/>
    <x v="12"/>
    <x v="101"/>
    <x v="71"/>
    <x v="16"/>
    <x v="0"/>
    <x v="34"/>
  </r>
  <r>
    <x v="141"/>
    <x v="141"/>
    <x v="123"/>
    <x v="38"/>
    <x v="11"/>
    <x v="24"/>
    <x v="0"/>
    <x v="0"/>
    <x v="76"/>
    <x v="40"/>
    <x v="12"/>
    <x v="102"/>
    <x v="72"/>
    <x v="16"/>
    <x v="0"/>
    <x v="5"/>
  </r>
  <r>
    <x v="142"/>
    <x v="142"/>
    <x v="124"/>
    <x v="39"/>
    <x v="11"/>
    <x v="41"/>
    <x v="0"/>
    <x v="0"/>
    <x v="61"/>
    <x v="24"/>
    <x v="41"/>
    <x v="103"/>
    <x v="73"/>
    <x v="94"/>
    <x v="0"/>
    <x v="35"/>
  </r>
  <r>
    <x v="143"/>
    <x v="143"/>
    <x v="125"/>
    <x v="0"/>
    <x v="0"/>
    <x v="0"/>
    <x v="0"/>
    <x v="0"/>
    <x v="15"/>
    <x v="15"/>
    <x v="12"/>
    <x v="104"/>
    <x v="74"/>
    <x v="95"/>
    <x v="0"/>
    <x v="0"/>
  </r>
  <r>
    <x v="144"/>
    <x v="144"/>
    <x v="63"/>
    <x v="0"/>
    <x v="0"/>
    <x v="0"/>
    <x v="0"/>
    <x v="0"/>
    <x v="15"/>
    <x v="15"/>
    <x v="12"/>
    <x v="16"/>
    <x v="16"/>
    <x v="16"/>
    <x v="0"/>
    <x v="0"/>
  </r>
  <r>
    <x v="145"/>
    <x v="145"/>
    <x v="126"/>
    <x v="0"/>
    <x v="7"/>
    <x v="48"/>
    <x v="0"/>
    <x v="0"/>
    <x v="77"/>
    <x v="15"/>
    <x v="26"/>
    <x v="105"/>
    <x v="16"/>
    <x v="61"/>
    <x v="0"/>
    <x v="36"/>
  </r>
  <r>
    <x v="146"/>
    <x v="146"/>
    <x v="127"/>
    <x v="0"/>
    <x v="7"/>
    <x v="24"/>
    <x v="0"/>
    <x v="0"/>
    <x v="77"/>
    <x v="15"/>
    <x v="26"/>
    <x v="103"/>
    <x v="16"/>
    <x v="63"/>
    <x v="0"/>
    <x v="5"/>
  </r>
  <r>
    <x v="147"/>
    <x v="147"/>
    <x v="128"/>
    <x v="0"/>
    <x v="7"/>
    <x v="24"/>
    <x v="0"/>
    <x v="0"/>
    <x v="78"/>
    <x v="15"/>
    <x v="15"/>
    <x v="84"/>
    <x v="16"/>
    <x v="67"/>
    <x v="0"/>
    <x v="28"/>
  </r>
  <r>
    <x v="148"/>
    <x v="148"/>
    <x v="129"/>
    <x v="0"/>
    <x v="7"/>
    <x v="48"/>
    <x v="0"/>
    <x v="0"/>
    <x v="61"/>
    <x v="15"/>
    <x v="27"/>
    <x v="79"/>
    <x v="16"/>
    <x v="76"/>
    <x v="0"/>
    <x v="5"/>
  </r>
  <r>
    <x v="149"/>
    <x v="149"/>
    <x v="130"/>
    <x v="0"/>
    <x v="7"/>
    <x v="24"/>
    <x v="0"/>
    <x v="0"/>
    <x v="61"/>
    <x v="15"/>
    <x v="27"/>
    <x v="105"/>
    <x v="16"/>
    <x v="61"/>
    <x v="0"/>
    <x v="5"/>
  </r>
  <r>
    <x v="150"/>
    <x v="150"/>
    <x v="131"/>
    <x v="40"/>
    <x v="5"/>
    <x v="24"/>
    <x v="0"/>
    <x v="0"/>
    <x v="79"/>
    <x v="15"/>
    <x v="29"/>
    <x v="106"/>
    <x v="16"/>
    <x v="65"/>
    <x v="0"/>
    <x v="5"/>
  </r>
  <r>
    <x v="151"/>
    <x v="151"/>
    <x v="131"/>
    <x v="41"/>
    <x v="5"/>
    <x v="24"/>
    <x v="0"/>
    <x v="0"/>
    <x v="79"/>
    <x v="15"/>
    <x v="29"/>
    <x v="106"/>
    <x v="16"/>
    <x v="65"/>
    <x v="0"/>
    <x v="5"/>
  </r>
  <r>
    <x v="152"/>
    <x v="152"/>
    <x v="131"/>
    <x v="42"/>
    <x v="5"/>
    <x v="24"/>
    <x v="0"/>
    <x v="0"/>
    <x v="80"/>
    <x v="15"/>
    <x v="28"/>
    <x v="83"/>
    <x v="16"/>
    <x v="64"/>
    <x v="0"/>
    <x v="5"/>
  </r>
  <r>
    <x v="153"/>
    <x v="153"/>
    <x v="132"/>
    <x v="43"/>
    <x v="7"/>
    <x v="48"/>
    <x v="0"/>
    <x v="0"/>
    <x v="81"/>
    <x v="15"/>
    <x v="31"/>
    <x v="107"/>
    <x v="16"/>
    <x v="96"/>
    <x v="0"/>
    <x v="5"/>
  </r>
  <r>
    <x v="154"/>
    <x v="154"/>
    <x v="133"/>
    <x v="44"/>
    <x v="7"/>
    <x v="24"/>
    <x v="0"/>
    <x v="0"/>
    <x v="79"/>
    <x v="15"/>
    <x v="29"/>
    <x v="106"/>
    <x v="16"/>
    <x v="65"/>
    <x v="0"/>
    <x v="5"/>
  </r>
  <r>
    <x v="155"/>
    <x v="155"/>
    <x v="133"/>
    <x v="45"/>
    <x v="7"/>
    <x v="48"/>
    <x v="0"/>
    <x v="0"/>
    <x v="79"/>
    <x v="15"/>
    <x v="29"/>
    <x v="108"/>
    <x v="16"/>
    <x v="62"/>
    <x v="0"/>
    <x v="5"/>
  </r>
  <r>
    <x v="156"/>
    <x v="156"/>
    <x v="102"/>
    <x v="0"/>
    <x v="0"/>
    <x v="0"/>
    <x v="0"/>
    <x v="0"/>
    <x v="15"/>
    <x v="15"/>
    <x v="12"/>
    <x v="16"/>
    <x v="16"/>
    <x v="16"/>
    <x v="0"/>
    <x v="0"/>
  </r>
  <r>
    <x v="157"/>
    <x v="157"/>
    <x v="134"/>
    <x v="46"/>
    <x v="2"/>
    <x v="61"/>
    <x v="0"/>
    <x v="0"/>
    <x v="82"/>
    <x v="41"/>
    <x v="40"/>
    <x v="109"/>
    <x v="74"/>
    <x v="97"/>
    <x v="0"/>
    <x v="37"/>
  </r>
  <r>
    <x v="158"/>
    <x v="158"/>
    <x v="135"/>
    <x v="0"/>
    <x v="0"/>
    <x v="0"/>
    <x v="0"/>
    <x v="0"/>
    <x v="15"/>
    <x v="15"/>
    <x v="12"/>
    <x v="110"/>
    <x v="75"/>
    <x v="98"/>
    <x v="0"/>
    <x v="0"/>
  </r>
  <r>
    <x v="159"/>
    <x v="159"/>
    <x v="63"/>
    <x v="0"/>
    <x v="0"/>
    <x v="0"/>
    <x v="0"/>
    <x v="0"/>
    <x v="15"/>
    <x v="15"/>
    <x v="12"/>
    <x v="16"/>
    <x v="16"/>
    <x v="16"/>
    <x v="0"/>
    <x v="0"/>
  </r>
  <r>
    <x v="160"/>
    <x v="160"/>
    <x v="136"/>
    <x v="0"/>
    <x v="7"/>
    <x v="24"/>
    <x v="0"/>
    <x v="0"/>
    <x v="83"/>
    <x v="15"/>
    <x v="25"/>
    <x v="111"/>
    <x v="16"/>
    <x v="60"/>
    <x v="0"/>
    <x v="38"/>
  </r>
  <r>
    <x v="161"/>
    <x v="161"/>
    <x v="137"/>
    <x v="0"/>
    <x v="7"/>
    <x v="62"/>
    <x v="0"/>
    <x v="0"/>
    <x v="83"/>
    <x v="15"/>
    <x v="25"/>
    <x v="112"/>
    <x v="16"/>
    <x v="99"/>
    <x v="0"/>
    <x v="5"/>
  </r>
  <r>
    <x v="162"/>
    <x v="162"/>
    <x v="138"/>
    <x v="0"/>
    <x v="7"/>
    <x v="42"/>
    <x v="0"/>
    <x v="0"/>
    <x v="84"/>
    <x v="15"/>
    <x v="27"/>
    <x v="113"/>
    <x v="16"/>
    <x v="62"/>
    <x v="0"/>
    <x v="5"/>
  </r>
  <r>
    <x v="163"/>
    <x v="163"/>
    <x v="139"/>
    <x v="0"/>
    <x v="5"/>
    <x v="10"/>
    <x v="0"/>
    <x v="0"/>
    <x v="84"/>
    <x v="15"/>
    <x v="27"/>
    <x v="114"/>
    <x v="16"/>
    <x v="100"/>
    <x v="0"/>
    <x v="5"/>
  </r>
  <r>
    <x v="164"/>
    <x v="164"/>
    <x v="140"/>
    <x v="0"/>
    <x v="7"/>
    <x v="24"/>
    <x v="0"/>
    <x v="0"/>
    <x v="84"/>
    <x v="15"/>
    <x v="27"/>
    <x v="115"/>
    <x v="16"/>
    <x v="61"/>
    <x v="0"/>
    <x v="5"/>
  </r>
  <r>
    <x v="165"/>
    <x v="165"/>
    <x v="141"/>
    <x v="0"/>
    <x v="5"/>
    <x v="63"/>
    <x v="0"/>
    <x v="0"/>
    <x v="85"/>
    <x v="15"/>
    <x v="41"/>
    <x v="116"/>
    <x v="16"/>
    <x v="101"/>
    <x v="0"/>
    <x v="5"/>
  </r>
  <r>
    <x v="166"/>
    <x v="166"/>
    <x v="142"/>
    <x v="0"/>
    <x v="5"/>
    <x v="51"/>
    <x v="0"/>
    <x v="0"/>
    <x v="85"/>
    <x v="15"/>
    <x v="41"/>
    <x v="111"/>
    <x v="16"/>
    <x v="60"/>
    <x v="0"/>
    <x v="5"/>
  </r>
  <r>
    <x v="167"/>
    <x v="167"/>
    <x v="143"/>
    <x v="0"/>
    <x v="5"/>
    <x v="64"/>
    <x v="0"/>
    <x v="0"/>
    <x v="85"/>
    <x v="15"/>
    <x v="41"/>
    <x v="117"/>
    <x v="16"/>
    <x v="102"/>
    <x v="0"/>
    <x v="5"/>
  </r>
  <r>
    <x v="168"/>
    <x v="168"/>
    <x v="144"/>
    <x v="0"/>
    <x v="5"/>
    <x v="65"/>
    <x v="0"/>
    <x v="0"/>
    <x v="85"/>
    <x v="15"/>
    <x v="41"/>
    <x v="118"/>
    <x v="16"/>
    <x v="103"/>
    <x v="0"/>
    <x v="5"/>
  </r>
  <r>
    <x v="169"/>
    <x v="169"/>
    <x v="145"/>
    <x v="0"/>
    <x v="5"/>
    <x v="48"/>
    <x v="0"/>
    <x v="0"/>
    <x v="85"/>
    <x v="15"/>
    <x v="41"/>
    <x v="119"/>
    <x v="16"/>
    <x v="83"/>
    <x v="0"/>
    <x v="5"/>
  </r>
  <r>
    <x v="170"/>
    <x v="170"/>
    <x v="146"/>
    <x v="0"/>
    <x v="6"/>
    <x v="48"/>
    <x v="0"/>
    <x v="0"/>
    <x v="86"/>
    <x v="15"/>
    <x v="28"/>
    <x v="120"/>
    <x v="16"/>
    <x v="63"/>
    <x v="0"/>
    <x v="5"/>
  </r>
  <r>
    <x v="171"/>
    <x v="171"/>
    <x v="147"/>
    <x v="0"/>
    <x v="5"/>
    <x v="41"/>
    <x v="0"/>
    <x v="0"/>
    <x v="84"/>
    <x v="15"/>
    <x v="27"/>
    <x v="120"/>
    <x v="16"/>
    <x v="63"/>
    <x v="0"/>
    <x v="5"/>
  </r>
  <r>
    <x v="172"/>
    <x v="172"/>
    <x v="148"/>
    <x v="47"/>
    <x v="10"/>
    <x v="66"/>
    <x v="0"/>
    <x v="0"/>
    <x v="87"/>
    <x v="38"/>
    <x v="8"/>
    <x v="121"/>
    <x v="76"/>
    <x v="104"/>
    <x v="0"/>
    <x v="39"/>
  </r>
  <r>
    <x v="173"/>
    <x v="173"/>
    <x v="102"/>
    <x v="0"/>
    <x v="0"/>
    <x v="0"/>
    <x v="0"/>
    <x v="0"/>
    <x v="15"/>
    <x v="15"/>
    <x v="12"/>
    <x v="16"/>
    <x v="16"/>
    <x v="16"/>
    <x v="0"/>
    <x v="0"/>
  </r>
  <r>
    <x v="174"/>
    <x v="174"/>
    <x v="149"/>
    <x v="48"/>
    <x v="10"/>
    <x v="67"/>
    <x v="0"/>
    <x v="0"/>
    <x v="88"/>
    <x v="0"/>
    <x v="45"/>
    <x v="122"/>
    <x v="16"/>
    <x v="105"/>
    <x v="0"/>
    <x v="40"/>
  </r>
  <r>
    <x v="175"/>
    <x v="175"/>
    <x v="149"/>
    <x v="49"/>
    <x v="10"/>
    <x v="68"/>
    <x v="0"/>
    <x v="0"/>
    <x v="89"/>
    <x v="0"/>
    <x v="45"/>
    <x v="123"/>
    <x v="16"/>
    <x v="106"/>
    <x v="0"/>
    <x v="5"/>
  </r>
  <r>
    <x v="176"/>
    <x v="176"/>
    <x v="150"/>
    <x v="50"/>
    <x v="10"/>
    <x v="69"/>
    <x v="0"/>
    <x v="0"/>
    <x v="90"/>
    <x v="0"/>
    <x v="45"/>
    <x v="124"/>
    <x v="16"/>
    <x v="107"/>
    <x v="0"/>
    <x v="5"/>
  </r>
  <r>
    <x v="177"/>
    <x v="177"/>
    <x v="150"/>
    <x v="51"/>
    <x v="10"/>
    <x v="70"/>
    <x v="0"/>
    <x v="0"/>
    <x v="91"/>
    <x v="0"/>
    <x v="45"/>
    <x v="125"/>
    <x v="16"/>
    <x v="108"/>
    <x v="0"/>
    <x v="5"/>
  </r>
  <r>
    <x v="178"/>
    <x v="178"/>
    <x v="150"/>
    <x v="52"/>
    <x v="10"/>
    <x v="71"/>
    <x v="0"/>
    <x v="0"/>
    <x v="92"/>
    <x v="0"/>
    <x v="45"/>
    <x v="126"/>
    <x v="16"/>
    <x v="109"/>
    <x v="0"/>
    <x v="5"/>
  </r>
  <r>
    <x v="179"/>
    <x v="179"/>
    <x v="150"/>
    <x v="53"/>
    <x v="10"/>
    <x v="71"/>
    <x v="0"/>
    <x v="0"/>
    <x v="93"/>
    <x v="0"/>
    <x v="46"/>
    <x v="127"/>
    <x v="16"/>
    <x v="110"/>
    <x v="0"/>
    <x v="5"/>
  </r>
  <r>
    <x v="180"/>
    <x v="180"/>
    <x v="150"/>
    <x v="54"/>
    <x v="10"/>
    <x v="72"/>
    <x v="0"/>
    <x v="0"/>
    <x v="94"/>
    <x v="0"/>
    <x v="5"/>
    <x v="128"/>
    <x v="16"/>
    <x v="111"/>
    <x v="0"/>
    <x v="5"/>
  </r>
  <r>
    <x v="181"/>
    <x v="181"/>
    <x v="150"/>
    <x v="51"/>
    <x v="10"/>
    <x v="73"/>
    <x v="0"/>
    <x v="0"/>
    <x v="91"/>
    <x v="0"/>
    <x v="45"/>
    <x v="129"/>
    <x v="16"/>
    <x v="112"/>
    <x v="0"/>
    <x v="5"/>
  </r>
  <r>
    <x v="182"/>
    <x v="182"/>
    <x v="150"/>
    <x v="55"/>
    <x v="10"/>
    <x v="74"/>
    <x v="0"/>
    <x v="0"/>
    <x v="95"/>
    <x v="0"/>
    <x v="45"/>
    <x v="130"/>
    <x v="16"/>
    <x v="113"/>
    <x v="0"/>
    <x v="5"/>
  </r>
  <r>
    <x v="183"/>
    <x v="183"/>
    <x v="150"/>
    <x v="48"/>
    <x v="10"/>
    <x v="75"/>
    <x v="0"/>
    <x v="0"/>
    <x v="96"/>
    <x v="0"/>
    <x v="45"/>
    <x v="131"/>
    <x v="16"/>
    <x v="114"/>
    <x v="0"/>
    <x v="5"/>
  </r>
  <r>
    <x v="184"/>
    <x v="184"/>
    <x v="150"/>
    <x v="49"/>
    <x v="10"/>
    <x v="76"/>
    <x v="0"/>
    <x v="0"/>
    <x v="97"/>
    <x v="0"/>
    <x v="46"/>
    <x v="132"/>
    <x v="16"/>
    <x v="115"/>
    <x v="0"/>
    <x v="5"/>
  </r>
  <r>
    <x v="185"/>
    <x v="185"/>
    <x v="150"/>
    <x v="56"/>
    <x v="10"/>
    <x v="77"/>
    <x v="0"/>
    <x v="0"/>
    <x v="98"/>
    <x v="0"/>
    <x v="46"/>
    <x v="133"/>
    <x v="16"/>
    <x v="116"/>
    <x v="0"/>
    <x v="5"/>
  </r>
  <r>
    <x v="186"/>
    <x v="186"/>
    <x v="150"/>
    <x v="57"/>
    <x v="10"/>
    <x v="78"/>
    <x v="0"/>
    <x v="0"/>
    <x v="99"/>
    <x v="0"/>
    <x v="46"/>
    <x v="134"/>
    <x v="16"/>
    <x v="117"/>
    <x v="0"/>
    <x v="5"/>
  </r>
  <r>
    <x v="187"/>
    <x v="187"/>
    <x v="150"/>
    <x v="58"/>
    <x v="10"/>
    <x v="71"/>
    <x v="0"/>
    <x v="0"/>
    <x v="100"/>
    <x v="0"/>
    <x v="47"/>
    <x v="135"/>
    <x v="16"/>
    <x v="30"/>
    <x v="0"/>
    <x v="5"/>
  </r>
  <r>
    <x v="188"/>
    <x v="188"/>
    <x v="150"/>
    <x v="59"/>
    <x v="10"/>
    <x v="79"/>
    <x v="0"/>
    <x v="0"/>
    <x v="101"/>
    <x v="0"/>
    <x v="48"/>
    <x v="136"/>
    <x v="16"/>
    <x v="118"/>
    <x v="0"/>
    <x v="5"/>
  </r>
  <r>
    <x v="189"/>
    <x v="189"/>
    <x v="150"/>
    <x v="60"/>
    <x v="10"/>
    <x v="68"/>
    <x v="0"/>
    <x v="0"/>
    <x v="102"/>
    <x v="0"/>
    <x v="48"/>
    <x v="137"/>
    <x v="16"/>
    <x v="119"/>
    <x v="0"/>
    <x v="5"/>
  </r>
  <r>
    <x v="190"/>
    <x v="190"/>
    <x v="150"/>
    <x v="61"/>
    <x v="10"/>
    <x v="79"/>
    <x v="0"/>
    <x v="0"/>
    <x v="103"/>
    <x v="0"/>
    <x v="49"/>
    <x v="138"/>
    <x v="16"/>
    <x v="120"/>
    <x v="0"/>
    <x v="5"/>
  </r>
  <r>
    <x v="191"/>
    <x v="191"/>
    <x v="150"/>
    <x v="62"/>
    <x v="10"/>
    <x v="80"/>
    <x v="0"/>
    <x v="0"/>
    <x v="104"/>
    <x v="0"/>
    <x v="5"/>
    <x v="139"/>
    <x v="16"/>
    <x v="121"/>
    <x v="0"/>
    <x v="5"/>
  </r>
  <r>
    <x v="192"/>
    <x v="192"/>
    <x v="150"/>
    <x v="63"/>
    <x v="10"/>
    <x v="81"/>
    <x v="0"/>
    <x v="0"/>
    <x v="105"/>
    <x v="0"/>
    <x v="5"/>
    <x v="140"/>
    <x v="16"/>
    <x v="122"/>
    <x v="0"/>
    <x v="5"/>
  </r>
  <r>
    <x v="193"/>
    <x v="193"/>
    <x v="150"/>
    <x v="64"/>
    <x v="10"/>
    <x v="82"/>
    <x v="0"/>
    <x v="0"/>
    <x v="106"/>
    <x v="0"/>
    <x v="50"/>
    <x v="141"/>
    <x v="16"/>
    <x v="123"/>
    <x v="0"/>
    <x v="5"/>
  </r>
  <r>
    <x v="194"/>
    <x v="194"/>
    <x v="150"/>
    <x v="65"/>
    <x v="10"/>
    <x v="68"/>
    <x v="0"/>
    <x v="0"/>
    <x v="107"/>
    <x v="0"/>
    <x v="39"/>
    <x v="142"/>
    <x v="16"/>
    <x v="124"/>
    <x v="0"/>
    <x v="5"/>
  </r>
  <r>
    <x v="195"/>
    <x v="195"/>
    <x v="150"/>
    <x v="66"/>
    <x v="10"/>
    <x v="83"/>
    <x v="0"/>
    <x v="0"/>
    <x v="108"/>
    <x v="0"/>
    <x v="10"/>
    <x v="143"/>
    <x v="16"/>
    <x v="125"/>
    <x v="0"/>
    <x v="5"/>
  </r>
  <r>
    <x v="196"/>
    <x v="196"/>
    <x v="150"/>
    <x v="67"/>
    <x v="10"/>
    <x v="84"/>
    <x v="0"/>
    <x v="0"/>
    <x v="109"/>
    <x v="0"/>
    <x v="11"/>
    <x v="144"/>
    <x v="16"/>
    <x v="126"/>
    <x v="0"/>
    <x v="5"/>
  </r>
  <r>
    <x v="197"/>
    <x v="197"/>
    <x v="151"/>
    <x v="48"/>
    <x v="10"/>
    <x v="85"/>
    <x v="0"/>
    <x v="0"/>
    <x v="110"/>
    <x v="0"/>
    <x v="45"/>
    <x v="145"/>
    <x v="16"/>
    <x v="127"/>
    <x v="0"/>
    <x v="5"/>
  </r>
  <r>
    <x v="198"/>
    <x v="198"/>
    <x v="152"/>
    <x v="48"/>
    <x v="10"/>
    <x v="86"/>
    <x v="0"/>
    <x v="0"/>
    <x v="110"/>
    <x v="0"/>
    <x v="45"/>
    <x v="146"/>
    <x v="16"/>
    <x v="128"/>
    <x v="0"/>
    <x v="5"/>
  </r>
  <r>
    <x v="199"/>
    <x v="199"/>
    <x v="152"/>
    <x v="68"/>
    <x v="10"/>
    <x v="83"/>
    <x v="0"/>
    <x v="0"/>
    <x v="111"/>
    <x v="0"/>
    <x v="45"/>
    <x v="147"/>
    <x v="16"/>
    <x v="129"/>
    <x v="0"/>
    <x v="5"/>
  </r>
  <r>
    <x v="200"/>
    <x v="200"/>
    <x v="152"/>
    <x v="49"/>
    <x v="10"/>
    <x v="87"/>
    <x v="0"/>
    <x v="0"/>
    <x v="112"/>
    <x v="0"/>
    <x v="46"/>
    <x v="148"/>
    <x v="16"/>
    <x v="130"/>
    <x v="0"/>
    <x v="5"/>
  </r>
  <r>
    <x v="201"/>
    <x v="201"/>
    <x v="152"/>
    <x v="56"/>
    <x v="10"/>
    <x v="88"/>
    <x v="0"/>
    <x v="0"/>
    <x v="113"/>
    <x v="0"/>
    <x v="47"/>
    <x v="149"/>
    <x v="16"/>
    <x v="131"/>
    <x v="0"/>
    <x v="5"/>
  </r>
  <r>
    <x v="202"/>
    <x v="202"/>
    <x v="152"/>
    <x v="63"/>
    <x v="10"/>
    <x v="70"/>
    <x v="0"/>
    <x v="0"/>
    <x v="114"/>
    <x v="0"/>
    <x v="51"/>
    <x v="150"/>
    <x v="16"/>
    <x v="107"/>
    <x v="0"/>
    <x v="5"/>
  </r>
  <r>
    <x v="203"/>
    <x v="203"/>
    <x v="153"/>
    <x v="69"/>
    <x v="10"/>
    <x v="89"/>
    <x v="0"/>
    <x v="0"/>
    <x v="115"/>
    <x v="0"/>
    <x v="47"/>
    <x v="151"/>
    <x v="16"/>
    <x v="132"/>
    <x v="0"/>
    <x v="5"/>
  </r>
  <r>
    <x v="204"/>
    <x v="204"/>
    <x v="153"/>
    <x v="70"/>
    <x v="10"/>
    <x v="77"/>
    <x v="0"/>
    <x v="0"/>
    <x v="116"/>
    <x v="0"/>
    <x v="39"/>
    <x v="152"/>
    <x v="16"/>
    <x v="114"/>
    <x v="0"/>
    <x v="5"/>
  </r>
  <r>
    <x v="205"/>
    <x v="205"/>
    <x v="153"/>
    <x v="71"/>
    <x v="10"/>
    <x v="77"/>
    <x v="0"/>
    <x v="0"/>
    <x v="117"/>
    <x v="0"/>
    <x v="39"/>
    <x v="153"/>
    <x v="16"/>
    <x v="114"/>
    <x v="0"/>
    <x v="5"/>
  </r>
  <r>
    <x v="206"/>
    <x v="206"/>
    <x v="153"/>
    <x v="72"/>
    <x v="10"/>
    <x v="77"/>
    <x v="0"/>
    <x v="0"/>
    <x v="118"/>
    <x v="0"/>
    <x v="5"/>
    <x v="154"/>
    <x v="16"/>
    <x v="130"/>
    <x v="0"/>
    <x v="5"/>
  </r>
  <r>
    <x v="207"/>
    <x v="207"/>
    <x v="153"/>
    <x v="73"/>
    <x v="10"/>
    <x v="87"/>
    <x v="0"/>
    <x v="0"/>
    <x v="119"/>
    <x v="0"/>
    <x v="10"/>
    <x v="155"/>
    <x v="16"/>
    <x v="133"/>
    <x v="0"/>
    <x v="5"/>
  </r>
  <r>
    <x v="208"/>
    <x v="208"/>
    <x v="154"/>
    <x v="73"/>
    <x v="10"/>
    <x v="71"/>
    <x v="0"/>
    <x v="0"/>
    <x v="119"/>
    <x v="0"/>
    <x v="10"/>
    <x v="156"/>
    <x v="16"/>
    <x v="70"/>
    <x v="0"/>
    <x v="5"/>
  </r>
  <r>
    <x v="209"/>
    <x v="209"/>
    <x v="155"/>
    <x v="74"/>
    <x v="10"/>
    <x v="90"/>
    <x v="0"/>
    <x v="0"/>
    <x v="120"/>
    <x v="0"/>
    <x v="45"/>
    <x v="157"/>
    <x v="16"/>
    <x v="134"/>
    <x v="0"/>
    <x v="5"/>
  </r>
  <r>
    <x v="210"/>
    <x v="210"/>
    <x v="155"/>
    <x v="75"/>
    <x v="10"/>
    <x v="91"/>
    <x v="0"/>
    <x v="0"/>
    <x v="121"/>
    <x v="0"/>
    <x v="45"/>
    <x v="158"/>
    <x v="16"/>
    <x v="135"/>
    <x v="0"/>
    <x v="5"/>
  </r>
  <r>
    <x v="211"/>
    <x v="211"/>
    <x v="156"/>
    <x v="48"/>
    <x v="10"/>
    <x v="76"/>
    <x v="0"/>
    <x v="0"/>
    <x v="122"/>
    <x v="0"/>
    <x v="45"/>
    <x v="159"/>
    <x v="16"/>
    <x v="136"/>
    <x v="0"/>
    <x v="5"/>
  </r>
  <r>
    <x v="212"/>
    <x v="212"/>
    <x v="156"/>
    <x v="76"/>
    <x v="10"/>
    <x v="92"/>
    <x v="0"/>
    <x v="0"/>
    <x v="123"/>
    <x v="0"/>
    <x v="45"/>
    <x v="160"/>
    <x v="16"/>
    <x v="137"/>
    <x v="0"/>
    <x v="5"/>
  </r>
  <r>
    <x v="213"/>
    <x v="213"/>
    <x v="156"/>
    <x v="77"/>
    <x v="10"/>
    <x v="93"/>
    <x v="0"/>
    <x v="0"/>
    <x v="124"/>
    <x v="0"/>
    <x v="46"/>
    <x v="161"/>
    <x v="16"/>
    <x v="138"/>
    <x v="0"/>
    <x v="5"/>
  </r>
  <r>
    <x v="214"/>
    <x v="214"/>
    <x v="156"/>
    <x v="78"/>
    <x v="10"/>
    <x v="94"/>
    <x v="0"/>
    <x v="0"/>
    <x v="125"/>
    <x v="0"/>
    <x v="47"/>
    <x v="162"/>
    <x v="16"/>
    <x v="139"/>
    <x v="0"/>
    <x v="5"/>
  </r>
  <r>
    <x v="215"/>
    <x v="215"/>
    <x v="156"/>
    <x v="79"/>
    <x v="10"/>
    <x v="95"/>
    <x v="0"/>
    <x v="0"/>
    <x v="126"/>
    <x v="0"/>
    <x v="45"/>
    <x v="163"/>
    <x v="16"/>
    <x v="140"/>
    <x v="0"/>
    <x v="5"/>
  </r>
  <r>
    <x v="216"/>
    <x v="216"/>
    <x v="156"/>
    <x v="80"/>
    <x v="10"/>
    <x v="96"/>
    <x v="0"/>
    <x v="0"/>
    <x v="127"/>
    <x v="0"/>
    <x v="45"/>
    <x v="164"/>
    <x v="16"/>
    <x v="141"/>
    <x v="0"/>
    <x v="5"/>
  </r>
  <r>
    <x v="217"/>
    <x v="217"/>
    <x v="156"/>
    <x v="81"/>
    <x v="10"/>
    <x v="97"/>
    <x v="0"/>
    <x v="0"/>
    <x v="128"/>
    <x v="0"/>
    <x v="45"/>
    <x v="165"/>
    <x v="16"/>
    <x v="142"/>
    <x v="0"/>
    <x v="5"/>
  </r>
  <r>
    <x v="218"/>
    <x v="218"/>
    <x v="156"/>
    <x v="82"/>
    <x v="10"/>
    <x v="98"/>
    <x v="0"/>
    <x v="0"/>
    <x v="129"/>
    <x v="0"/>
    <x v="46"/>
    <x v="166"/>
    <x v="16"/>
    <x v="143"/>
    <x v="0"/>
    <x v="5"/>
  </r>
  <r>
    <x v="219"/>
    <x v="219"/>
    <x v="156"/>
    <x v="83"/>
    <x v="10"/>
    <x v="99"/>
    <x v="0"/>
    <x v="0"/>
    <x v="130"/>
    <x v="0"/>
    <x v="46"/>
    <x v="167"/>
    <x v="16"/>
    <x v="144"/>
    <x v="0"/>
    <x v="5"/>
  </r>
  <r>
    <x v="220"/>
    <x v="220"/>
    <x v="156"/>
    <x v="84"/>
    <x v="10"/>
    <x v="100"/>
    <x v="0"/>
    <x v="0"/>
    <x v="131"/>
    <x v="0"/>
    <x v="46"/>
    <x v="168"/>
    <x v="16"/>
    <x v="145"/>
    <x v="0"/>
    <x v="5"/>
  </r>
  <r>
    <x v="221"/>
    <x v="221"/>
    <x v="157"/>
    <x v="48"/>
    <x v="10"/>
    <x v="91"/>
    <x v="0"/>
    <x v="0"/>
    <x v="132"/>
    <x v="0"/>
    <x v="45"/>
    <x v="169"/>
    <x v="16"/>
    <x v="135"/>
    <x v="0"/>
    <x v="5"/>
  </r>
  <r>
    <x v="222"/>
    <x v="222"/>
    <x v="157"/>
    <x v="68"/>
    <x v="10"/>
    <x v="74"/>
    <x v="0"/>
    <x v="0"/>
    <x v="133"/>
    <x v="0"/>
    <x v="46"/>
    <x v="170"/>
    <x v="16"/>
    <x v="121"/>
    <x v="0"/>
    <x v="5"/>
  </r>
  <r>
    <x v="223"/>
    <x v="223"/>
    <x v="157"/>
    <x v="85"/>
    <x v="10"/>
    <x v="101"/>
    <x v="0"/>
    <x v="0"/>
    <x v="134"/>
    <x v="0"/>
    <x v="47"/>
    <x v="171"/>
    <x v="16"/>
    <x v="146"/>
    <x v="0"/>
    <x v="5"/>
  </r>
  <r>
    <x v="224"/>
    <x v="224"/>
    <x v="157"/>
    <x v="86"/>
    <x v="10"/>
    <x v="72"/>
    <x v="0"/>
    <x v="0"/>
    <x v="135"/>
    <x v="0"/>
    <x v="45"/>
    <x v="172"/>
    <x v="16"/>
    <x v="147"/>
    <x v="0"/>
    <x v="5"/>
  </r>
  <r>
    <x v="225"/>
    <x v="225"/>
    <x v="157"/>
    <x v="76"/>
    <x v="10"/>
    <x v="102"/>
    <x v="0"/>
    <x v="0"/>
    <x v="136"/>
    <x v="0"/>
    <x v="45"/>
    <x v="173"/>
    <x v="16"/>
    <x v="103"/>
    <x v="0"/>
    <x v="5"/>
  </r>
  <r>
    <x v="226"/>
    <x v="226"/>
    <x v="157"/>
    <x v="77"/>
    <x v="10"/>
    <x v="98"/>
    <x v="0"/>
    <x v="0"/>
    <x v="137"/>
    <x v="0"/>
    <x v="46"/>
    <x v="174"/>
    <x v="16"/>
    <x v="143"/>
    <x v="0"/>
    <x v="5"/>
  </r>
  <r>
    <x v="227"/>
    <x v="227"/>
    <x v="157"/>
    <x v="78"/>
    <x v="10"/>
    <x v="103"/>
    <x v="0"/>
    <x v="0"/>
    <x v="138"/>
    <x v="0"/>
    <x v="47"/>
    <x v="175"/>
    <x v="16"/>
    <x v="148"/>
    <x v="0"/>
    <x v="5"/>
  </r>
  <r>
    <x v="228"/>
    <x v="228"/>
    <x v="157"/>
    <x v="80"/>
    <x v="10"/>
    <x v="88"/>
    <x v="0"/>
    <x v="0"/>
    <x v="139"/>
    <x v="0"/>
    <x v="47"/>
    <x v="176"/>
    <x v="16"/>
    <x v="131"/>
    <x v="0"/>
    <x v="5"/>
  </r>
  <r>
    <x v="229"/>
    <x v="229"/>
    <x v="157"/>
    <x v="81"/>
    <x v="10"/>
    <x v="104"/>
    <x v="0"/>
    <x v="0"/>
    <x v="140"/>
    <x v="0"/>
    <x v="47"/>
    <x v="177"/>
    <x v="16"/>
    <x v="149"/>
    <x v="0"/>
    <x v="5"/>
  </r>
  <r>
    <x v="230"/>
    <x v="230"/>
    <x v="157"/>
    <x v="82"/>
    <x v="10"/>
    <x v="105"/>
    <x v="0"/>
    <x v="0"/>
    <x v="141"/>
    <x v="0"/>
    <x v="47"/>
    <x v="178"/>
    <x v="16"/>
    <x v="150"/>
    <x v="0"/>
    <x v="5"/>
  </r>
  <r>
    <x v="231"/>
    <x v="231"/>
    <x v="157"/>
    <x v="83"/>
    <x v="10"/>
    <x v="100"/>
    <x v="0"/>
    <x v="0"/>
    <x v="142"/>
    <x v="0"/>
    <x v="47"/>
    <x v="179"/>
    <x v="16"/>
    <x v="151"/>
    <x v="0"/>
    <x v="5"/>
  </r>
  <r>
    <x v="232"/>
    <x v="232"/>
    <x v="157"/>
    <x v="84"/>
    <x v="10"/>
    <x v="106"/>
    <x v="0"/>
    <x v="0"/>
    <x v="143"/>
    <x v="0"/>
    <x v="47"/>
    <x v="180"/>
    <x v="16"/>
    <x v="152"/>
    <x v="0"/>
    <x v="5"/>
  </r>
  <r>
    <x v="233"/>
    <x v="233"/>
    <x v="158"/>
    <x v="79"/>
    <x v="10"/>
    <x v="107"/>
    <x v="0"/>
    <x v="0"/>
    <x v="144"/>
    <x v="0"/>
    <x v="47"/>
    <x v="181"/>
    <x v="16"/>
    <x v="153"/>
    <x v="0"/>
    <x v="5"/>
  </r>
  <r>
    <x v="234"/>
    <x v="234"/>
    <x v="158"/>
    <x v="80"/>
    <x v="10"/>
    <x v="97"/>
    <x v="0"/>
    <x v="0"/>
    <x v="145"/>
    <x v="0"/>
    <x v="46"/>
    <x v="182"/>
    <x v="16"/>
    <x v="154"/>
    <x v="0"/>
    <x v="5"/>
  </r>
  <r>
    <x v="235"/>
    <x v="235"/>
    <x v="158"/>
    <x v="84"/>
    <x v="10"/>
    <x v="107"/>
    <x v="0"/>
    <x v="0"/>
    <x v="146"/>
    <x v="0"/>
    <x v="46"/>
    <x v="183"/>
    <x v="16"/>
    <x v="155"/>
    <x v="0"/>
    <x v="5"/>
  </r>
  <r>
    <x v="236"/>
    <x v="236"/>
    <x v="158"/>
    <x v="77"/>
    <x v="10"/>
    <x v="108"/>
    <x v="0"/>
    <x v="0"/>
    <x v="147"/>
    <x v="0"/>
    <x v="45"/>
    <x v="184"/>
    <x v="16"/>
    <x v="156"/>
    <x v="0"/>
    <x v="5"/>
  </r>
  <r>
    <x v="237"/>
    <x v="237"/>
    <x v="158"/>
    <x v="78"/>
    <x v="10"/>
    <x v="108"/>
    <x v="0"/>
    <x v="0"/>
    <x v="148"/>
    <x v="0"/>
    <x v="45"/>
    <x v="185"/>
    <x v="16"/>
    <x v="156"/>
    <x v="0"/>
    <x v="5"/>
  </r>
  <r>
    <x v="238"/>
    <x v="238"/>
    <x v="159"/>
    <x v="87"/>
    <x v="10"/>
    <x v="74"/>
    <x v="0"/>
    <x v="0"/>
    <x v="149"/>
    <x v="0"/>
    <x v="45"/>
    <x v="186"/>
    <x v="16"/>
    <x v="113"/>
    <x v="0"/>
    <x v="5"/>
  </r>
  <r>
    <x v="239"/>
    <x v="239"/>
    <x v="160"/>
    <x v="0"/>
    <x v="10"/>
    <x v="109"/>
    <x v="0"/>
    <x v="0"/>
    <x v="150"/>
    <x v="0"/>
    <x v="45"/>
    <x v="187"/>
    <x v="16"/>
    <x v="157"/>
    <x v="0"/>
    <x v="5"/>
  </r>
  <r>
    <x v="240"/>
    <x v="240"/>
    <x v="161"/>
    <x v="2"/>
    <x v="2"/>
    <x v="110"/>
    <x v="0"/>
    <x v="0"/>
    <x v="151"/>
    <x v="42"/>
    <x v="52"/>
    <x v="188"/>
    <x v="77"/>
    <x v="158"/>
    <x v="0"/>
    <x v="41"/>
  </r>
  <r>
    <x v="241"/>
    <x v="241"/>
    <x v="162"/>
    <x v="2"/>
    <x v="2"/>
    <x v="2"/>
    <x v="0"/>
    <x v="0"/>
    <x v="152"/>
    <x v="3"/>
    <x v="3"/>
    <x v="189"/>
    <x v="78"/>
    <x v="159"/>
    <x v="0"/>
    <x v="42"/>
  </r>
  <r>
    <x v="242"/>
    <x v="242"/>
    <x v="118"/>
    <x v="2"/>
    <x v="2"/>
    <x v="111"/>
    <x v="0"/>
    <x v="0"/>
    <x v="153"/>
    <x v="35"/>
    <x v="40"/>
    <x v="190"/>
    <x v="79"/>
    <x v="160"/>
    <x v="0"/>
    <x v="43"/>
  </r>
  <r>
    <x v="243"/>
    <x v="243"/>
    <x v="163"/>
    <x v="88"/>
    <x v="10"/>
    <x v="97"/>
    <x v="0"/>
    <x v="0"/>
    <x v="154"/>
    <x v="43"/>
    <x v="39"/>
    <x v="191"/>
    <x v="80"/>
    <x v="161"/>
    <x v="0"/>
    <x v="5"/>
  </r>
  <r>
    <x v="244"/>
    <x v="244"/>
    <x v="164"/>
    <x v="89"/>
    <x v="10"/>
    <x v="112"/>
    <x v="0"/>
    <x v="0"/>
    <x v="155"/>
    <x v="44"/>
    <x v="47"/>
    <x v="192"/>
    <x v="81"/>
    <x v="162"/>
    <x v="0"/>
    <x v="44"/>
  </r>
  <r>
    <x v="245"/>
    <x v="245"/>
    <x v="164"/>
    <x v="29"/>
    <x v="10"/>
    <x v="103"/>
    <x v="0"/>
    <x v="0"/>
    <x v="155"/>
    <x v="44"/>
    <x v="47"/>
    <x v="193"/>
    <x v="82"/>
    <x v="148"/>
    <x v="0"/>
    <x v="5"/>
  </r>
  <r>
    <x v="246"/>
    <x v="246"/>
    <x v="164"/>
    <x v="90"/>
    <x v="10"/>
    <x v="79"/>
    <x v="0"/>
    <x v="0"/>
    <x v="156"/>
    <x v="22"/>
    <x v="47"/>
    <x v="194"/>
    <x v="83"/>
    <x v="163"/>
    <x v="0"/>
    <x v="5"/>
  </r>
  <r>
    <x v="247"/>
    <x v="247"/>
    <x v="164"/>
    <x v="27"/>
    <x v="10"/>
    <x v="113"/>
    <x v="0"/>
    <x v="0"/>
    <x v="157"/>
    <x v="7"/>
    <x v="5"/>
    <x v="195"/>
    <x v="84"/>
    <x v="164"/>
    <x v="0"/>
    <x v="5"/>
  </r>
  <r>
    <x v="248"/>
    <x v="248"/>
    <x v="164"/>
    <x v="28"/>
    <x v="10"/>
    <x v="114"/>
    <x v="0"/>
    <x v="0"/>
    <x v="158"/>
    <x v="45"/>
    <x v="10"/>
    <x v="196"/>
    <x v="85"/>
    <x v="165"/>
    <x v="0"/>
    <x v="5"/>
  </r>
  <r>
    <x v="249"/>
    <x v="249"/>
    <x v="164"/>
    <x v="26"/>
    <x v="10"/>
    <x v="114"/>
    <x v="0"/>
    <x v="0"/>
    <x v="159"/>
    <x v="46"/>
    <x v="10"/>
    <x v="197"/>
    <x v="86"/>
    <x v="165"/>
    <x v="0"/>
    <x v="5"/>
  </r>
  <r>
    <x v="250"/>
    <x v="250"/>
    <x v="165"/>
    <x v="91"/>
    <x v="6"/>
    <x v="115"/>
    <x v="0"/>
    <x v="0"/>
    <x v="160"/>
    <x v="47"/>
    <x v="8"/>
    <x v="198"/>
    <x v="87"/>
    <x v="60"/>
    <x v="0"/>
    <x v="45"/>
  </r>
  <r>
    <x v="251"/>
    <x v="251"/>
    <x v="166"/>
    <x v="92"/>
    <x v="6"/>
    <x v="103"/>
    <x v="0"/>
    <x v="0"/>
    <x v="161"/>
    <x v="48"/>
    <x v="8"/>
    <x v="199"/>
    <x v="88"/>
    <x v="166"/>
    <x v="0"/>
    <x v="5"/>
  </r>
  <r>
    <x v="252"/>
    <x v="252"/>
    <x v="167"/>
    <x v="93"/>
    <x v="6"/>
    <x v="116"/>
    <x v="0"/>
    <x v="0"/>
    <x v="162"/>
    <x v="49"/>
    <x v="8"/>
    <x v="200"/>
    <x v="89"/>
    <x v="167"/>
    <x v="0"/>
    <x v="5"/>
  </r>
  <r>
    <x v="253"/>
    <x v="253"/>
    <x v="168"/>
    <x v="0"/>
    <x v="0"/>
    <x v="0"/>
    <x v="0"/>
    <x v="0"/>
    <x v="15"/>
    <x v="15"/>
    <x v="12"/>
    <x v="201"/>
    <x v="90"/>
    <x v="168"/>
    <x v="0"/>
    <x v="0"/>
  </r>
  <r>
    <x v="254"/>
    <x v="254"/>
    <x v="63"/>
    <x v="0"/>
    <x v="0"/>
    <x v="0"/>
    <x v="0"/>
    <x v="0"/>
    <x v="15"/>
    <x v="15"/>
    <x v="12"/>
    <x v="16"/>
    <x v="16"/>
    <x v="16"/>
    <x v="0"/>
    <x v="0"/>
  </r>
  <r>
    <x v="255"/>
    <x v="255"/>
    <x v="169"/>
    <x v="94"/>
    <x v="0"/>
    <x v="48"/>
    <x v="0"/>
    <x v="0"/>
    <x v="163"/>
    <x v="15"/>
    <x v="53"/>
    <x v="202"/>
    <x v="16"/>
    <x v="69"/>
    <x v="0"/>
    <x v="38"/>
  </r>
  <r>
    <x v="256"/>
    <x v="256"/>
    <x v="102"/>
    <x v="0"/>
    <x v="0"/>
    <x v="0"/>
    <x v="0"/>
    <x v="0"/>
    <x v="15"/>
    <x v="15"/>
    <x v="12"/>
    <x v="16"/>
    <x v="16"/>
    <x v="16"/>
    <x v="0"/>
    <x v="0"/>
  </r>
  <r>
    <x v="257"/>
    <x v="257"/>
    <x v="170"/>
    <x v="95"/>
    <x v="10"/>
    <x v="117"/>
    <x v="0"/>
    <x v="0"/>
    <x v="164"/>
    <x v="0"/>
    <x v="11"/>
    <x v="203"/>
    <x v="16"/>
    <x v="169"/>
    <x v="0"/>
    <x v="40"/>
  </r>
  <r>
    <x v="258"/>
    <x v="258"/>
    <x v="171"/>
    <x v="96"/>
    <x v="10"/>
    <x v="118"/>
    <x v="0"/>
    <x v="0"/>
    <x v="165"/>
    <x v="0"/>
    <x v="45"/>
    <x v="204"/>
    <x v="16"/>
    <x v="170"/>
    <x v="0"/>
    <x v="5"/>
  </r>
  <r>
    <x v="259"/>
    <x v="259"/>
    <x v="171"/>
    <x v="97"/>
    <x v="10"/>
    <x v="119"/>
    <x v="0"/>
    <x v="0"/>
    <x v="166"/>
    <x v="0"/>
    <x v="46"/>
    <x v="205"/>
    <x v="16"/>
    <x v="23"/>
    <x v="0"/>
    <x v="5"/>
  </r>
  <r>
    <x v="260"/>
    <x v="260"/>
    <x v="171"/>
    <x v="98"/>
    <x v="10"/>
    <x v="120"/>
    <x v="0"/>
    <x v="0"/>
    <x v="167"/>
    <x v="0"/>
    <x v="46"/>
    <x v="206"/>
    <x v="16"/>
    <x v="171"/>
    <x v="0"/>
    <x v="5"/>
  </r>
  <r>
    <x v="261"/>
    <x v="261"/>
    <x v="172"/>
    <x v="95"/>
    <x v="5"/>
    <x v="42"/>
    <x v="0"/>
    <x v="0"/>
    <x v="168"/>
    <x v="50"/>
    <x v="27"/>
    <x v="207"/>
    <x v="71"/>
    <x v="62"/>
    <x v="0"/>
    <x v="46"/>
  </r>
  <r>
    <x v="262"/>
    <x v="262"/>
    <x v="161"/>
    <x v="2"/>
    <x v="2"/>
    <x v="121"/>
    <x v="0"/>
    <x v="0"/>
    <x v="169"/>
    <x v="51"/>
    <x v="52"/>
    <x v="208"/>
    <x v="91"/>
    <x v="172"/>
    <x v="0"/>
    <x v="41"/>
  </r>
  <r>
    <x v="263"/>
    <x v="263"/>
    <x v="173"/>
    <x v="0"/>
    <x v="0"/>
    <x v="0"/>
    <x v="0"/>
    <x v="0"/>
    <x v="15"/>
    <x v="15"/>
    <x v="12"/>
    <x v="209"/>
    <x v="92"/>
    <x v="173"/>
    <x v="0"/>
    <x v="0"/>
  </r>
  <r>
    <x v="264"/>
    <x v="264"/>
    <x v="63"/>
    <x v="0"/>
    <x v="0"/>
    <x v="0"/>
    <x v="0"/>
    <x v="0"/>
    <x v="15"/>
    <x v="15"/>
    <x v="12"/>
    <x v="16"/>
    <x v="16"/>
    <x v="16"/>
    <x v="0"/>
    <x v="0"/>
  </r>
  <r>
    <x v="265"/>
    <x v="265"/>
    <x v="174"/>
    <x v="0"/>
    <x v="6"/>
    <x v="24"/>
    <x v="0"/>
    <x v="0"/>
    <x v="54"/>
    <x v="15"/>
    <x v="54"/>
    <x v="210"/>
    <x v="16"/>
    <x v="170"/>
    <x v="0"/>
    <x v="47"/>
  </r>
  <r>
    <x v="266"/>
    <x v="266"/>
    <x v="175"/>
    <x v="0"/>
    <x v="6"/>
    <x v="41"/>
    <x v="0"/>
    <x v="0"/>
    <x v="170"/>
    <x v="15"/>
    <x v="55"/>
    <x v="211"/>
    <x v="16"/>
    <x v="93"/>
    <x v="0"/>
    <x v="5"/>
  </r>
  <r>
    <x v="267"/>
    <x v="267"/>
    <x v="176"/>
    <x v="0"/>
    <x v="6"/>
    <x v="24"/>
    <x v="0"/>
    <x v="0"/>
    <x v="42"/>
    <x v="15"/>
    <x v="26"/>
    <x v="212"/>
    <x v="16"/>
    <x v="63"/>
    <x v="0"/>
    <x v="5"/>
  </r>
  <r>
    <x v="268"/>
    <x v="268"/>
    <x v="177"/>
    <x v="0"/>
    <x v="12"/>
    <x v="24"/>
    <x v="0"/>
    <x v="0"/>
    <x v="171"/>
    <x v="15"/>
    <x v="41"/>
    <x v="213"/>
    <x v="16"/>
    <x v="174"/>
    <x v="0"/>
    <x v="5"/>
  </r>
  <r>
    <x v="269"/>
    <x v="269"/>
    <x v="178"/>
    <x v="0"/>
    <x v="7"/>
    <x v="56"/>
    <x v="0"/>
    <x v="0"/>
    <x v="48"/>
    <x v="15"/>
    <x v="15"/>
    <x v="214"/>
    <x v="16"/>
    <x v="38"/>
    <x v="0"/>
    <x v="5"/>
  </r>
  <r>
    <x v="270"/>
    <x v="270"/>
    <x v="179"/>
    <x v="0"/>
    <x v="7"/>
    <x v="51"/>
    <x v="0"/>
    <x v="0"/>
    <x v="171"/>
    <x v="15"/>
    <x v="41"/>
    <x v="215"/>
    <x v="16"/>
    <x v="60"/>
    <x v="0"/>
    <x v="5"/>
  </r>
  <r>
    <x v="271"/>
    <x v="271"/>
    <x v="180"/>
    <x v="0"/>
    <x v="7"/>
    <x v="25"/>
    <x v="0"/>
    <x v="0"/>
    <x v="172"/>
    <x v="15"/>
    <x v="8"/>
    <x v="216"/>
    <x v="16"/>
    <x v="103"/>
    <x v="0"/>
    <x v="5"/>
  </r>
  <r>
    <x v="272"/>
    <x v="272"/>
    <x v="181"/>
    <x v="29"/>
    <x v="7"/>
    <x v="51"/>
    <x v="0"/>
    <x v="0"/>
    <x v="173"/>
    <x v="15"/>
    <x v="9"/>
    <x v="213"/>
    <x v="16"/>
    <x v="174"/>
    <x v="0"/>
    <x v="5"/>
  </r>
  <r>
    <x v="273"/>
    <x v="273"/>
    <x v="182"/>
    <x v="0"/>
    <x v="7"/>
    <x v="48"/>
    <x v="0"/>
    <x v="0"/>
    <x v="174"/>
    <x v="15"/>
    <x v="36"/>
    <x v="217"/>
    <x v="16"/>
    <x v="75"/>
    <x v="0"/>
    <x v="5"/>
  </r>
  <r>
    <x v="274"/>
    <x v="274"/>
    <x v="183"/>
    <x v="0"/>
    <x v="7"/>
    <x v="48"/>
    <x v="0"/>
    <x v="0"/>
    <x v="172"/>
    <x v="15"/>
    <x v="8"/>
    <x v="218"/>
    <x v="16"/>
    <x v="78"/>
    <x v="0"/>
    <x v="5"/>
  </r>
  <r>
    <x v="275"/>
    <x v="275"/>
    <x v="184"/>
    <x v="0"/>
    <x v="7"/>
    <x v="48"/>
    <x v="0"/>
    <x v="0"/>
    <x v="174"/>
    <x v="15"/>
    <x v="36"/>
    <x v="217"/>
    <x v="16"/>
    <x v="75"/>
    <x v="0"/>
    <x v="5"/>
  </r>
  <r>
    <x v="276"/>
    <x v="276"/>
    <x v="185"/>
    <x v="0"/>
    <x v="13"/>
    <x v="41"/>
    <x v="0"/>
    <x v="0"/>
    <x v="175"/>
    <x v="15"/>
    <x v="25"/>
    <x v="219"/>
    <x v="16"/>
    <x v="175"/>
    <x v="0"/>
    <x v="5"/>
  </r>
  <r>
    <x v="277"/>
    <x v="277"/>
    <x v="186"/>
    <x v="0"/>
    <x v="7"/>
    <x v="41"/>
    <x v="0"/>
    <x v="0"/>
    <x v="175"/>
    <x v="15"/>
    <x v="25"/>
    <x v="219"/>
    <x v="16"/>
    <x v="175"/>
    <x v="0"/>
    <x v="5"/>
  </r>
  <r>
    <x v="278"/>
    <x v="278"/>
    <x v="140"/>
    <x v="0"/>
    <x v="5"/>
    <x v="41"/>
    <x v="0"/>
    <x v="0"/>
    <x v="176"/>
    <x v="15"/>
    <x v="27"/>
    <x v="212"/>
    <x v="16"/>
    <x v="63"/>
    <x v="0"/>
    <x v="5"/>
  </r>
  <r>
    <x v="279"/>
    <x v="279"/>
    <x v="187"/>
    <x v="99"/>
    <x v="6"/>
    <x v="24"/>
    <x v="0"/>
    <x v="0"/>
    <x v="43"/>
    <x v="15"/>
    <x v="14"/>
    <x v="63"/>
    <x v="16"/>
    <x v="62"/>
    <x v="0"/>
    <x v="5"/>
  </r>
  <r>
    <x v="280"/>
    <x v="280"/>
    <x v="102"/>
    <x v="0"/>
    <x v="0"/>
    <x v="0"/>
    <x v="0"/>
    <x v="0"/>
    <x v="15"/>
    <x v="15"/>
    <x v="12"/>
    <x v="16"/>
    <x v="16"/>
    <x v="16"/>
    <x v="0"/>
    <x v="0"/>
  </r>
  <r>
    <x v="281"/>
    <x v="281"/>
    <x v="188"/>
    <x v="100"/>
    <x v="10"/>
    <x v="43"/>
    <x v="0"/>
    <x v="0"/>
    <x v="177"/>
    <x v="0"/>
    <x v="45"/>
    <x v="220"/>
    <x v="16"/>
    <x v="65"/>
    <x v="0"/>
    <x v="40"/>
  </r>
  <r>
    <x v="282"/>
    <x v="282"/>
    <x v="188"/>
    <x v="101"/>
    <x v="10"/>
    <x v="122"/>
    <x v="0"/>
    <x v="0"/>
    <x v="178"/>
    <x v="0"/>
    <x v="45"/>
    <x v="221"/>
    <x v="16"/>
    <x v="174"/>
    <x v="0"/>
    <x v="5"/>
  </r>
  <r>
    <x v="283"/>
    <x v="283"/>
    <x v="189"/>
    <x v="102"/>
    <x v="10"/>
    <x v="123"/>
    <x v="0"/>
    <x v="0"/>
    <x v="179"/>
    <x v="0"/>
    <x v="12"/>
    <x v="222"/>
    <x v="16"/>
    <x v="16"/>
    <x v="0"/>
    <x v="5"/>
  </r>
  <r>
    <x v="284"/>
    <x v="284"/>
    <x v="190"/>
    <x v="103"/>
    <x v="10"/>
    <x v="123"/>
    <x v="0"/>
    <x v="0"/>
    <x v="180"/>
    <x v="0"/>
    <x v="45"/>
    <x v="223"/>
    <x v="16"/>
    <x v="63"/>
    <x v="0"/>
    <x v="5"/>
  </r>
  <r>
    <x v="285"/>
    <x v="285"/>
    <x v="190"/>
    <x v="103"/>
    <x v="10"/>
    <x v="124"/>
    <x v="0"/>
    <x v="0"/>
    <x v="180"/>
    <x v="0"/>
    <x v="45"/>
    <x v="224"/>
    <x v="16"/>
    <x v="64"/>
    <x v="0"/>
    <x v="5"/>
  </r>
  <r>
    <x v="286"/>
    <x v="286"/>
    <x v="191"/>
    <x v="104"/>
    <x v="10"/>
    <x v="35"/>
    <x v="0"/>
    <x v="0"/>
    <x v="181"/>
    <x v="0"/>
    <x v="45"/>
    <x v="225"/>
    <x v="16"/>
    <x v="176"/>
    <x v="0"/>
    <x v="5"/>
  </r>
  <r>
    <x v="287"/>
    <x v="287"/>
    <x v="192"/>
    <x v="0"/>
    <x v="10"/>
    <x v="123"/>
    <x v="0"/>
    <x v="0"/>
    <x v="182"/>
    <x v="15"/>
    <x v="49"/>
    <x v="226"/>
    <x v="16"/>
    <x v="64"/>
    <x v="0"/>
    <x v="5"/>
  </r>
  <r>
    <x v="288"/>
    <x v="288"/>
    <x v="193"/>
    <x v="0"/>
    <x v="10"/>
    <x v="35"/>
    <x v="0"/>
    <x v="0"/>
    <x v="182"/>
    <x v="15"/>
    <x v="49"/>
    <x v="227"/>
    <x v="16"/>
    <x v="102"/>
    <x v="0"/>
    <x v="5"/>
  </r>
  <r>
    <x v="289"/>
    <x v="289"/>
    <x v="194"/>
    <x v="0"/>
    <x v="10"/>
    <x v="35"/>
    <x v="0"/>
    <x v="0"/>
    <x v="182"/>
    <x v="15"/>
    <x v="49"/>
    <x v="227"/>
    <x v="16"/>
    <x v="102"/>
    <x v="0"/>
    <x v="5"/>
  </r>
  <r>
    <x v="290"/>
    <x v="290"/>
    <x v="195"/>
    <x v="0"/>
    <x v="10"/>
    <x v="123"/>
    <x v="0"/>
    <x v="0"/>
    <x v="182"/>
    <x v="15"/>
    <x v="49"/>
    <x v="226"/>
    <x v="16"/>
    <x v="64"/>
    <x v="0"/>
    <x v="5"/>
  </r>
  <r>
    <x v="291"/>
    <x v="291"/>
    <x v="118"/>
    <x v="2"/>
    <x v="2"/>
    <x v="125"/>
    <x v="0"/>
    <x v="0"/>
    <x v="183"/>
    <x v="35"/>
    <x v="40"/>
    <x v="228"/>
    <x v="93"/>
    <x v="177"/>
    <x v="0"/>
    <x v="43"/>
  </r>
  <r>
    <x v="292"/>
    <x v="292"/>
    <x v="111"/>
    <x v="2"/>
    <x v="2"/>
    <x v="126"/>
    <x v="0"/>
    <x v="0"/>
    <x v="184"/>
    <x v="32"/>
    <x v="40"/>
    <x v="229"/>
    <x v="94"/>
    <x v="178"/>
    <x v="0"/>
    <x v="5"/>
  </r>
  <r>
    <x v="293"/>
    <x v="293"/>
    <x v="196"/>
    <x v="105"/>
    <x v="10"/>
    <x v="9"/>
    <x v="0"/>
    <x v="0"/>
    <x v="185"/>
    <x v="52"/>
    <x v="39"/>
    <x v="230"/>
    <x v="94"/>
    <x v="179"/>
    <x v="0"/>
    <x v="5"/>
  </r>
  <r>
    <x v="294"/>
    <x v="294"/>
    <x v="164"/>
    <x v="89"/>
    <x v="10"/>
    <x v="17"/>
    <x v="0"/>
    <x v="0"/>
    <x v="186"/>
    <x v="53"/>
    <x v="47"/>
    <x v="231"/>
    <x v="95"/>
    <x v="180"/>
    <x v="0"/>
    <x v="44"/>
  </r>
  <r>
    <x v="295"/>
    <x v="295"/>
    <x v="197"/>
    <x v="2"/>
    <x v="2"/>
    <x v="127"/>
    <x v="0"/>
    <x v="0"/>
    <x v="187"/>
    <x v="17"/>
    <x v="3"/>
    <x v="232"/>
    <x v="96"/>
    <x v="145"/>
    <x v="0"/>
    <x v="42"/>
  </r>
  <r>
    <x v="296"/>
    <x v="296"/>
    <x v="198"/>
    <x v="0"/>
    <x v="0"/>
    <x v="0"/>
    <x v="0"/>
    <x v="0"/>
    <x v="15"/>
    <x v="15"/>
    <x v="12"/>
    <x v="233"/>
    <x v="97"/>
    <x v="181"/>
    <x v="0"/>
    <x v="0"/>
  </r>
  <r>
    <x v="297"/>
    <x v="297"/>
    <x v="199"/>
    <x v="0"/>
    <x v="0"/>
    <x v="0"/>
    <x v="0"/>
    <x v="0"/>
    <x v="15"/>
    <x v="15"/>
    <x v="12"/>
    <x v="16"/>
    <x v="16"/>
    <x v="16"/>
    <x v="0"/>
    <x v="0"/>
  </r>
  <r>
    <x v="298"/>
    <x v="298"/>
    <x v="63"/>
    <x v="0"/>
    <x v="0"/>
    <x v="0"/>
    <x v="0"/>
    <x v="0"/>
    <x v="15"/>
    <x v="15"/>
    <x v="12"/>
    <x v="16"/>
    <x v="16"/>
    <x v="16"/>
    <x v="0"/>
    <x v="0"/>
  </r>
  <r>
    <x v="299"/>
    <x v="299"/>
    <x v="200"/>
    <x v="0"/>
    <x v="7"/>
    <x v="48"/>
    <x v="0"/>
    <x v="0"/>
    <x v="175"/>
    <x v="15"/>
    <x v="25"/>
    <x v="234"/>
    <x v="16"/>
    <x v="94"/>
    <x v="0"/>
    <x v="38"/>
  </r>
  <r>
    <x v="300"/>
    <x v="300"/>
    <x v="201"/>
    <x v="0"/>
    <x v="7"/>
    <x v="41"/>
    <x v="0"/>
    <x v="0"/>
    <x v="175"/>
    <x v="15"/>
    <x v="25"/>
    <x v="219"/>
    <x v="16"/>
    <x v="175"/>
    <x v="0"/>
    <x v="5"/>
  </r>
  <r>
    <x v="301"/>
    <x v="301"/>
    <x v="202"/>
    <x v="106"/>
    <x v="7"/>
    <x v="56"/>
    <x v="0"/>
    <x v="0"/>
    <x v="176"/>
    <x v="15"/>
    <x v="27"/>
    <x v="235"/>
    <x v="16"/>
    <x v="182"/>
    <x v="0"/>
    <x v="5"/>
  </r>
  <r>
    <x v="302"/>
    <x v="302"/>
    <x v="203"/>
    <x v="107"/>
    <x v="7"/>
    <x v="48"/>
    <x v="0"/>
    <x v="0"/>
    <x v="176"/>
    <x v="15"/>
    <x v="27"/>
    <x v="236"/>
    <x v="16"/>
    <x v="76"/>
    <x v="0"/>
    <x v="5"/>
  </r>
  <r>
    <x v="303"/>
    <x v="303"/>
    <x v="204"/>
    <x v="0"/>
    <x v="7"/>
    <x v="48"/>
    <x v="0"/>
    <x v="0"/>
    <x v="176"/>
    <x v="15"/>
    <x v="27"/>
    <x v="236"/>
    <x v="16"/>
    <x v="76"/>
    <x v="0"/>
    <x v="5"/>
  </r>
  <r>
    <x v="304"/>
    <x v="304"/>
    <x v="204"/>
    <x v="0"/>
    <x v="7"/>
    <x v="48"/>
    <x v="0"/>
    <x v="0"/>
    <x v="176"/>
    <x v="15"/>
    <x v="27"/>
    <x v="236"/>
    <x v="16"/>
    <x v="76"/>
    <x v="0"/>
    <x v="5"/>
  </r>
  <r>
    <x v="305"/>
    <x v="305"/>
    <x v="140"/>
    <x v="0"/>
    <x v="6"/>
    <x v="48"/>
    <x v="0"/>
    <x v="0"/>
    <x v="176"/>
    <x v="15"/>
    <x v="27"/>
    <x v="236"/>
    <x v="16"/>
    <x v="76"/>
    <x v="0"/>
    <x v="5"/>
  </r>
  <r>
    <x v="306"/>
    <x v="306"/>
    <x v="205"/>
    <x v="108"/>
    <x v="7"/>
    <x v="48"/>
    <x v="0"/>
    <x v="0"/>
    <x v="176"/>
    <x v="15"/>
    <x v="27"/>
    <x v="236"/>
    <x v="16"/>
    <x v="76"/>
    <x v="0"/>
    <x v="5"/>
  </r>
  <r>
    <x v="307"/>
    <x v="307"/>
    <x v="205"/>
    <x v="109"/>
    <x v="7"/>
    <x v="48"/>
    <x v="0"/>
    <x v="0"/>
    <x v="176"/>
    <x v="15"/>
    <x v="27"/>
    <x v="236"/>
    <x v="16"/>
    <x v="76"/>
    <x v="0"/>
    <x v="5"/>
  </r>
  <r>
    <x v="308"/>
    <x v="308"/>
    <x v="206"/>
    <x v="110"/>
    <x v="6"/>
    <x v="48"/>
    <x v="0"/>
    <x v="0"/>
    <x v="48"/>
    <x v="15"/>
    <x v="15"/>
    <x v="237"/>
    <x v="16"/>
    <x v="77"/>
    <x v="0"/>
    <x v="5"/>
  </r>
  <r>
    <x v="309"/>
    <x v="309"/>
    <x v="102"/>
    <x v="0"/>
    <x v="0"/>
    <x v="0"/>
    <x v="0"/>
    <x v="0"/>
    <x v="15"/>
    <x v="15"/>
    <x v="12"/>
    <x v="16"/>
    <x v="16"/>
    <x v="16"/>
    <x v="0"/>
    <x v="0"/>
  </r>
  <r>
    <x v="310"/>
    <x v="310"/>
    <x v="163"/>
    <x v="111"/>
    <x v="10"/>
    <x v="47"/>
    <x v="0"/>
    <x v="0"/>
    <x v="188"/>
    <x v="43"/>
    <x v="39"/>
    <x v="238"/>
    <x v="98"/>
    <x v="75"/>
    <x v="0"/>
    <x v="8"/>
  </r>
  <r>
    <x v="311"/>
    <x v="311"/>
    <x v="207"/>
    <x v="112"/>
    <x v="10"/>
    <x v="9"/>
    <x v="0"/>
    <x v="0"/>
    <x v="189"/>
    <x v="53"/>
    <x v="39"/>
    <x v="239"/>
    <x v="99"/>
    <x v="179"/>
    <x v="0"/>
    <x v="5"/>
  </r>
  <r>
    <x v="312"/>
    <x v="312"/>
    <x v="208"/>
    <x v="113"/>
    <x v="10"/>
    <x v="9"/>
    <x v="0"/>
    <x v="0"/>
    <x v="190"/>
    <x v="0"/>
    <x v="45"/>
    <x v="240"/>
    <x v="16"/>
    <x v="54"/>
    <x v="0"/>
    <x v="40"/>
  </r>
  <r>
    <x v="313"/>
    <x v="313"/>
    <x v="209"/>
    <x v="114"/>
    <x v="10"/>
    <x v="35"/>
    <x v="0"/>
    <x v="0"/>
    <x v="191"/>
    <x v="15"/>
    <x v="45"/>
    <x v="241"/>
    <x v="16"/>
    <x v="176"/>
    <x v="0"/>
    <x v="5"/>
  </r>
  <r>
    <x v="314"/>
    <x v="314"/>
    <x v="210"/>
    <x v="115"/>
    <x v="10"/>
    <x v="128"/>
    <x v="0"/>
    <x v="0"/>
    <x v="192"/>
    <x v="15"/>
    <x v="46"/>
    <x v="242"/>
    <x v="16"/>
    <x v="69"/>
    <x v="0"/>
    <x v="5"/>
  </r>
  <r>
    <x v="315"/>
    <x v="315"/>
    <x v="211"/>
    <x v="116"/>
    <x v="14"/>
    <x v="115"/>
    <x v="0"/>
    <x v="0"/>
    <x v="193"/>
    <x v="15"/>
    <x v="5"/>
    <x v="243"/>
    <x v="16"/>
    <x v="183"/>
    <x v="0"/>
    <x v="5"/>
  </r>
  <r>
    <x v="316"/>
    <x v="316"/>
    <x v="212"/>
    <x v="0"/>
    <x v="0"/>
    <x v="0"/>
    <x v="0"/>
    <x v="0"/>
    <x v="15"/>
    <x v="15"/>
    <x v="12"/>
    <x v="244"/>
    <x v="100"/>
    <x v="184"/>
    <x v="0"/>
    <x v="0"/>
  </r>
  <r>
    <x v="317"/>
    <x v="317"/>
    <x v="63"/>
    <x v="0"/>
    <x v="0"/>
    <x v="0"/>
    <x v="0"/>
    <x v="0"/>
    <x v="15"/>
    <x v="15"/>
    <x v="12"/>
    <x v="16"/>
    <x v="16"/>
    <x v="16"/>
    <x v="0"/>
    <x v="0"/>
  </r>
  <r>
    <x v="318"/>
    <x v="318"/>
    <x v="213"/>
    <x v="117"/>
    <x v="7"/>
    <x v="48"/>
    <x v="0"/>
    <x v="0"/>
    <x v="176"/>
    <x v="15"/>
    <x v="27"/>
    <x v="236"/>
    <x v="16"/>
    <x v="76"/>
    <x v="0"/>
    <x v="38"/>
  </r>
  <r>
    <x v="319"/>
    <x v="319"/>
    <x v="214"/>
    <x v="117"/>
    <x v="7"/>
    <x v="48"/>
    <x v="0"/>
    <x v="0"/>
    <x v="176"/>
    <x v="15"/>
    <x v="27"/>
    <x v="236"/>
    <x v="16"/>
    <x v="76"/>
    <x v="0"/>
    <x v="5"/>
  </r>
  <r>
    <x v="320"/>
    <x v="320"/>
    <x v="215"/>
    <x v="117"/>
    <x v="7"/>
    <x v="48"/>
    <x v="0"/>
    <x v="0"/>
    <x v="176"/>
    <x v="15"/>
    <x v="27"/>
    <x v="236"/>
    <x v="16"/>
    <x v="76"/>
    <x v="0"/>
    <x v="5"/>
  </r>
  <r>
    <x v="321"/>
    <x v="321"/>
    <x v="216"/>
    <x v="0"/>
    <x v="7"/>
    <x v="48"/>
    <x v="0"/>
    <x v="0"/>
    <x v="176"/>
    <x v="15"/>
    <x v="27"/>
    <x v="236"/>
    <x v="16"/>
    <x v="76"/>
    <x v="0"/>
    <x v="5"/>
  </r>
  <r>
    <x v="322"/>
    <x v="322"/>
    <x v="217"/>
    <x v="118"/>
    <x v="7"/>
    <x v="48"/>
    <x v="0"/>
    <x v="0"/>
    <x v="176"/>
    <x v="15"/>
    <x v="27"/>
    <x v="236"/>
    <x v="16"/>
    <x v="76"/>
    <x v="0"/>
    <x v="5"/>
  </r>
  <r>
    <x v="323"/>
    <x v="323"/>
    <x v="218"/>
    <x v="0"/>
    <x v="7"/>
    <x v="56"/>
    <x v="0"/>
    <x v="0"/>
    <x v="176"/>
    <x v="15"/>
    <x v="27"/>
    <x v="235"/>
    <x v="16"/>
    <x v="182"/>
    <x v="0"/>
    <x v="5"/>
  </r>
  <r>
    <x v="324"/>
    <x v="324"/>
    <x v="219"/>
    <x v="0"/>
    <x v="7"/>
    <x v="56"/>
    <x v="0"/>
    <x v="0"/>
    <x v="176"/>
    <x v="15"/>
    <x v="27"/>
    <x v="235"/>
    <x v="16"/>
    <x v="182"/>
    <x v="0"/>
    <x v="5"/>
  </r>
  <r>
    <x v="325"/>
    <x v="325"/>
    <x v="220"/>
    <x v="0"/>
    <x v="7"/>
    <x v="48"/>
    <x v="0"/>
    <x v="0"/>
    <x v="176"/>
    <x v="15"/>
    <x v="27"/>
    <x v="236"/>
    <x v="16"/>
    <x v="76"/>
    <x v="0"/>
    <x v="5"/>
  </r>
  <r>
    <x v="326"/>
    <x v="326"/>
    <x v="102"/>
    <x v="0"/>
    <x v="0"/>
    <x v="0"/>
    <x v="0"/>
    <x v="0"/>
    <x v="15"/>
    <x v="15"/>
    <x v="12"/>
    <x v="16"/>
    <x v="16"/>
    <x v="16"/>
    <x v="0"/>
    <x v="0"/>
  </r>
  <r>
    <x v="327"/>
    <x v="327"/>
    <x v="221"/>
    <x v="119"/>
    <x v="10"/>
    <x v="129"/>
    <x v="0"/>
    <x v="0"/>
    <x v="194"/>
    <x v="0"/>
    <x v="45"/>
    <x v="245"/>
    <x v="16"/>
    <x v="94"/>
    <x v="0"/>
    <x v="40"/>
  </r>
  <r>
    <x v="328"/>
    <x v="328"/>
    <x v="222"/>
    <x v="120"/>
    <x v="10"/>
    <x v="129"/>
    <x v="0"/>
    <x v="0"/>
    <x v="195"/>
    <x v="0"/>
    <x v="45"/>
    <x v="246"/>
    <x v="16"/>
    <x v="94"/>
    <x v="0"/>
    <x v="5"/>
  </r>
  <r>
    <x v="329"/>
    <x v="329"/>
    <x v="223"/>
    <x v="0"/>
    <x v="10"/>
    <x v="123"/>
    <x v="0"/>
    <x v="0"/>
    <x v="182"/>
    <x v="15"/>
    <x v="49"/>
    <x v="226"/>
    <x v="16"/>
    <x v="64"/>
    <x v="0"/>
    <x v="5"/>
  </r>
  <r>
    <x v="330"/>
    <x v="330"/>
    <x v="224"/>
    <x v="0"/>
    <x v="10"/>
    <x v="130"/>
    <x v="0"/>
    <x v="0"/>
    <x v="191"/>
    <x v="15"/>
    <x v="45"/>
    <x v="247"/>
    <x v="16"/>
    <x v="67"/>
    <x v="0"/>
    <x v="5"/>
  </r>
  <r>
    <x v="331"/>
    <x v="331"/>
    <x v="118"/>
    <x v="2"/>
    <x v="2"/>
    <x v="131"/>
    <x v="0"/>
    <x v="0"/>
    <x v="183"/>
    <x v="35"/>
    <x v="40"/>
    <x v="248"/>
    <x v="101"/>
    <x v="185"/>
    <x v="0"/>
    <x v="43"/>
  </r>
  <r>
    <x v="332"/>
    <x v="332"/>
    <x v="111"/>
    <x v="2"/>
    <x v="10"/>
    <x v="122"/>
    <x v="0"/>
    <x v="0"/>
    <x v="196"/>
    <x v="52"/>
    <x v="10"/>
    <x v="249"/>
    <x v="102"/>
    <x v="63"/>
    <x v="0"/>
    <x v="5"/>
  </r>
  <r>
    <x v="333"/>
    <x v="333"/>
    <x v="225"/>
    <x v="29"/>
    <x v="10"/>
    <x v="130"/>
    <x v="0"/>
    <x v="0"/>
    <x v="197"/>
    <x v="54"/>
    <x v="56"/>
    <x v="250"/>
    <x v="103"/>
    <x v="72"/>
    <x v="0"/>
    <x v="5"/>
  </r>
  <r>
    <x v="334"/>
    <x v="334"/>
    <x v="226"/>
    <x v="0"/>
    <x v="0"/>
    <x v="0"/>
    <x v="0"/>
    <x v="0"/>
    <x v="15"/>
    <x v="15"/>
    <x v="12"/>
    <x v="251"/>
    <x v="104"/>
    <x v="186"/>
    <x v="0"/>
    <x v="0"/>
  </r>
  <r>
    <x v="335"/>
    <x v="335"/>
    <x v="63"/>
    <x v="0"/>
    <x v="0"/>
    <x v="0"/>
    <x v="0"/>
    <x v="0"/>
    <x v="15"/>
    <x v="15"/>
    <x v="12"/>
    <x v="16"/>
    <x v="16"/>
    <x v="16"/>
    <x v="0"/>
    <x v="0"/>
  </r>
  <r>
    <x v="336"/>
    <x v="336"/>
    <x v="227"/>
    <x v="0"/>
    <x v="7"/>
    <x v="48"/>
    <x v="0"/>
    <x v="0"/>
    <x v="176"/>
    <x v="15"/>
    <x v="27"/>
    <x v="236"/>
    <x v="16"/>
    <x v="76"/>
    <x v="0"/>
    <x v="38"/>
  </r>
  <r>
    <x v="337"/>
    <x v="337"/>
    <x v="228"/>
    <x v="0"/>
    <x v="7"/>
    <x v="48"/>
    <x v="0"/>
    <x v="0"/>
    <x v="176"/>
    <x v="15"/>
    <x v="27"/>
    <x v="236"/>
    <x v="16"/>
    <x v="76"/>
    <x v="0"/>
    <x v="5"/>
  </r>
  <r>
    <x v="338"/>
    <x v="338"/>
    <x v="229"/>
    <x v="0"/>
    <x v="7"/>
    <x v="48"/>
    <x v="0"/>
    <x v="0"/>
    <x v="176"/>
    <x v="15"/>
    <x v="27"/>
    <x v="236"/>
    <x v="16"/>
    <x v="76"/>
    <x v="0"/>
    <x v="5"/>
  </r>
  <r>
    <x v="339"/>
    <x v="339"/>
    <x v="230"/>
    <x v="0"/>
    <x v="7"/>
    <x v="48"/>
    <x v="0"/>
    <x v="0"/>
    <x v="176"/>
    <x v="15"/>
    <x v="27"/>
    <x v="236"/>
    <x v="16"/>
    <x v="76"/>
    <x v="0"/>
    <x v="5"/>
  </r>
  <r>
    <x v="340"/>
    <x v="340"/>
    <x v="231"/>
    <x v="121"/>
    <x v="7"/>
    <x v="48"/>
    <x v="0"/>
    <x v="0"/>
    <x v="176"/>
    <x v="15"/>
    <x v="27"/>
    <x v="236"/>
    <x v="16"/>
    <x v="76"/>
    <x v="0"/>
    <x v="5"/>
  </r>
  <r>
    <x v="341"/>
    <x v="341"/>
    <x v="232"/>
    <x v="122"/>
    <x v="7"/>
    <x v="48"/>
    <x v="0"/>
    <x v="0"/>
    <x v="48"/>
    <x v="15"/>
    <x v="15"/>
    <x v="237"/>
    <x v="16"/>
    <x v="77"/>
    <x v="0"/>
    <x v="5"/>
  </r>
  <r>
    <x v="342"/>
    <x v="342"/>
    <x v="233"/>
    <x v="123"/>
    <x v="6"/>
    <x v="48"/>
    <x v="0"/>
    <x v="0"/>
    <x v="176"/>
    <x v="15"/>
    <x v="27"/>
    <x v="236"/>
    <x v="16"/>
    <x v="76"/>
    <x v="0"/>
    <x v="5"/>
  </r>
  <r>
    <x v="343"/>
    <x v="343"/>
    <x v="234"/>
    <x v="124"/>
    <x v="6"/>
    <x v="41"/>
    <x v="0"/>
    <x v="0"/>
    <x v="48"/>
    <x v="15"/>
    <x v="15"/>
    <x v="252"/>
    <x v="16"/>
    <x v="176"/>
    <x v="0"/>
    <x v="5"/>
  </r>
  <r>
    <x v="344"/>
    <x v="344"/>
    <x v="235"/>
    <x v="125"/>
    <x v="6"/>
    <x v="49"/>
    <x v="0"/>
    <x v="0"/>
    <x v="171"/>
    <x v="15"/>
    <x v="41"/>
    <x v="253"/>
    <x v="16"/>
    <x v="187"/>
    <x v="0"/>
    <x v="5"/>
  </r>
  <r>
    <x v="345"/>
    <x v="345"/>
    <x v="102"/>
    <x v="0"/>
    <x v="0"/>
    <x v="0"/>
    <x v="0"/>
    <x v="0"/>
    <x v="15"/>
    <x v="15"/>
    <x v="12"/>
    <x v="16"/>
    <x v="16"/>
    <x v="16"/>
    <x v="0"/>
    <x v="0"/>
  </r>
  <r>
    <x v="346"/>
    <x v="346"/>
    <x v="118"/>
    <x v="2"/>
    <x v="2"/>
    <x v="132"/>
    <x v="0"/>
    <x v="0"/>
    <x v="183"/>
    <x v="35"/>
    <x v="40"/>
    <x v="254"/>
    <x v="105"/>
    <x v="188"/>
    <x v="0"/>
    <x v="43"/>
  </r>
  <r>
    <x v="347"/>
    <x v="347"/>
    <x v="236"/>
    <x v="126"/>
    <x v="10"/>
    <x v="9"/>
    <x v="0"/>
    <x v="0"/>
    <x v="198"/>
    <x v="7"/>
    <x v="46"/>
    <x v="255"/>
    <x v="70"/>
    <x v="75"/>
    <x v="0"/>
    <x v="5"/>
  </r>
  <r>
    <x v="348"/>
    <x v="348"/>
    <x v="237"/>
    <x v="127"/>
    <x v="3"/>
    <x v="48"/>
    <x v="0"/>
    <x v="0"/>
    <x v="199"/>
    <x v="55"/>
    <x v="9"/>
    <x v="256"/>
    <x v="106"/>
    <x v="189"/>
    <x v="0"/>
    <x v="8"/>
  </r>
  <r>
    <x v="349"/>
    <x v="349"/>
    <x v="238"/>
    <x v="128"/>
    <x v="10"/>
    <x v="133"/>
    <x v="0"/>
    <x v="0"/>
    <x v="200"/>
    <x v="0"/>
    <x v="49"/>
    <x v="257"/>
    <x v="16"/>
    <x v="190"/>
    <x v="0"/>
    <x v="40"/>
  </r>
  <r>
    <x v="350"/>
    <x v="350"/>
    <x v="239"/>
    <x v="129"/>
    <x v="10"/>
    <x v="60"/>
    <x v="0"/>
    <x v="0"/>
    <x v="201"/>
    <x v="0"/>
    <x v="45"/>
    <x v="258"/>
    <x v="16"/>
    <x v="84"/>
    <x v="0"/>
    <x v="5"/>
  </r>
  <r>
    <x v="351"/>
    <x v="351"/>
    <x v="240"/>
    <x v="130"/>
    <x v="10"/>
    <x v="24"/>
    <x v="0"/>
    <x v="0"/>
    <x v="202"/>
    <x v="0"/>
    <x v="45"/>
    <x v="259"/>
    <x v="16"/>
    <x v="191"/>
    <x v="0"/>
    <x v="5"/>
  </r>
  <r>
    <x v="352"/>
    <x v="352"/>
    <x v="241"/>
    <x v="0"/>
    <x v="0"/>
    <x v="0"/>
    <x v="0"/>
    <x v="0"/>
    <x v="15"/>
    <x v="15"/>
    <x v="12"/>
    <x v="260"/>
    <x v="107"/>
    <x v="192"/>
    <x v="0"/>
    <x v="0"/>
  </r>
  <r>
    <x v="353"/>
    <x v="353"/>
    <x v="63"/>
    <x v="0"/>
    <x v="0"/>
    <x v="0"/>
    <x v="0"/>
    <x v="0"/>
    <x v="15"/>
    <x v="15"/>
    <x v="12"/>
    <x v="16"/>
    <x v="16"/>
    <x v="16"/>
    <x v="0"/>
    <x v="0"/>
  </r>
  <r>
    <x v="354"/>
    <x v="354"/>
    <x v="242"/>
    <x v="131"/>
    <x v="6"/>
    <x v="48"/>
    <x v="0"/>
    <x v="0"/>
    <x v="48"/>
    <x v="15"/>
    <x v="15"/>
    <x v="237"/>
    <x v="16"/>
    <x v="77"/>
    <x v="0"/>
    <x v="38"/>
  </r>
  <r>
    <x v="355"/>
    <x v="355"/>
    <x v="243"/>
    <x v="132"/>
    <x v="6"/>
    <x v="48"/>
    <x v="0"/>
    <x v="0"/>
    <x v="49"/>
    <x v="15"/>
    <x v="31"/>
    <x v="261"/>
    <x v="16"/>
    <x v="96"/>
    <x v="0"/>
    <x v="38"/>
  </r>
  <r>
    <x v="356"/>
    <x v="356"/>
    <x v="244"/>
    <x v="133"/>
    <x v="6"/>
    <x v="48"/>
    <x v="0"/>
    <x v="0"/>
    <x v="203"/>
    <x v="15"/>
    <x v="33"/>
    <x v="262"/>
    <x v="16"/>
    <x v="193"/>
    <x v="0"/>
    <x v="38"/>
  </r>
  <r>
    <x v="357"/>
    <x v="357"/>
    <x v="245"/>
    <x v="134"/>
    <x v="6"/>
    <x v="48"/>
    <x v="0"/>
    <x v="0"/>
    <x v="204"/>
    <x v="15"/>
    <x v="53"/>
    <x v="263"/>
    <x v="16"/>
    <x v="69"/>
    <x v="0"/>
    <x v="48"/>
  </r>
  <r>
    <x v="358"/>
    <x v="358"/>
    <x v="102"/>
    <x v="0"/>
    <x v="0"/>
    <x v="0"/>
    <x v="0"/>
    <x v="0"/>
    <x v="15"/>
    <x v="15"/>
    <x v="12"/>
    <x v="16"/>
    <x v="16"/>
    <x v="16"/>
    <x v="0"/>
    <x v="0"/>
  </r>
  <r>
    <x v="359"/>
    <x v="359"/>
    <x v="246"/>
    <x v="135"/>
    <x v="10"/>
    <x v="124"/>
    <x v="0"/>
    <x v="0"/>
    <x v="195"/>
    <x v="0"/>
    <x v="45"/>
    <x v="264"/>
    <x v="16"/>
    <x v="64"/>
    <x v="0"/>
    <x v="40"/>
  </r>
  <r>
    <x v="360"/>
    <x v="360"/>
    <x v="247"/>
    <x v="136"/>
    <x v="10"/>
    <x v="134"/>
    <x v="0"/>
    <x v="0"/>
    <x v="205"/>
    <x v="0"/>
    <x v="45"/>
    <x v="265"/>
    <x v="16"/>
    <x v="187"/>
    <x v="0"/>
    <x v="5"/>
  </r>
  <r>
    <x v="361"/>
    <x v="361"/>
    <x v="248"/>
    <x v="137"/>
    <x v="10"/>
    <x v="135"/>
    <x v="0"/>
    <x v="0"/>
    <x v="206"/>
    <x v="0"/>
    <x v="49"/>
    <x v="266"/>
    <x v="16"/>
    <x v="194"/>
    <x v="0"/>
    <x v="5"/>
  </r>
  <r>
    <x v="362"/>
    <x v="362"/>
    <x v="248"/>
    <x v="138"/>
    <x v="10"/>
    <x v="124"/>
    <x v="0"/>
    <x v="0"/>
    <x v="207"/>
    <x v="0"/>
    <x v="49"/>
    <x v="267"/>
    <x v="16"/>
    <x v="59"/>
    <x v="0"/>
    <x v="5"/>
  </r>
  <r>
    <x v="363"/>
    <x v="363"/>
    <x v="249"/>
    <x v="139"/>
    <x v="15"/>
    <x v="53"/>
    <x v="0"/>
    <x v="0"/>
    <x v="208"/>
    <x v="0"/>
    <x v="49"/>
    <x v="268"/>
    <x v="16"/>
    <x v="183"/>
    <x v="0"/>
    <x v="5"/>
  </r>
  <r>
    <x v="364"/>
    <x v="364"/>
    <x v="250"/>
    <x v="140"/>
    <x v="15"/>
    <x v="53"/>
    <x v="0"/>
    <x v="0"/>
    <x v="209"/>
    <x v="0"/>
    <x v="49"/>
    <x v="269"/>
    <x v="16"/>
    <x v="183"/>
    <x v="0"/>
    <x v="5"/>
  </r>
  <r>
    <x v="365"/>
    <x v="365"/>
    <x v="251"/>
    <x v="141"/>
    <x v="10"/>
    <x v="123"/>
    <x v="0"/>
    <x v="0"/>
    <x v="210"/>
    <x v="0"/>
    <x v="45"/>
    <x v="270"/>
    <x v="16"/>
    <x v="63"/>
    <x v="0"/>
    <x v="5"/>
  </r>
  <r>
    <x v="366"/>
    <x v="366"/>
    <x v="252"/>
    <x v="142"/>
    <x v="10"/>
    <x v="123"/>
    <x v="0"/>
    <x v="0"/>
    <x v="211"/>
    <x v="0"/>
    <x v="45"/>
    <x v="271"/>
    <x v="16"/>
    <x v="63"/>
    <x v="0"/>
    <x v="5"/>
  </r>
  <r>
    <x v="367"/>
    <x v="367"/>
    <x v="251"/>
    <x v="141"/>
    <x v="10"/>
    <x v="136"/>
    <x v="0"/>
    <x v="0"/>
    <x v="210"/>
    <x v="0"/>
    <x v="45"/>
    <x v="272"/>
    <x v="16"/>
    <x v="69"/>
    <x v="0"/>
    <x v="5"/>
  </r>
  <r>
    <x v="368"/>
    <x v="368"/>
    <x v="251"/>
    <x v="143"/>
    <x v="10"/>
    <x v="135"/>
    <x v="0"/>
    <x v="0"/>
    <x v="212"/>
    <x v="0"/>
    <x v="45"/>
    <x v="273"/>
    <x v="16"/>
    <x v="195"/>
    <x v="0"/>
    <x v="5"/>
  </r>
  <r>
    <x v="369"/>
    <x v="369"/>
    <x v="253"/>
    <x v="144"/>
    <x v="10"/>
    <x v="137"/>
    <x v="0"/>
    <x v="0"/>
    <x v="213"/>
    <x v="0"/>
    <x v="45"/>
    <x v="274"/>
    <x v="16"/>
    <x v="60"/>
    <x v="0"/>
    <x v="5"/>
  </r>
  <r>
    <x v="370"/>
    <x v="370"/>
    <x v="253"/>
    <x v="145"/>
    <x v="10"/>
    <x v="138"/>
    <x v="0"/>
    <x v="0"/>
    <x v="214"/>
    <x v="0"/>
    <x v="45"/>
    <x v="275"/>
    <x v="16"/>
    <x v="175"/>
    <x v="0"/>
    <x v="5"/>
  </r>
  <r>
    <x v="371"/>
    <x v="371"/>
    <x v="253"/>
    <x v="146"/>
    <x v="10"/>
    <x v="137"/>
    <x v="0"/>
    <x v="0"/>
    <x v="215"/>
    <x v="0"/>
    <x v="45"/>
    <x v="276"/>
    <x v="16"/>
    <x v="60"/>
    <x v="0"/>
    <x v="5"/>
  </r>
  <r>
    <x v="372"/>
    <x v="372"/>
    <x v="118"/>
    <x v="2"/>
    <x v="2"/>
    <x v="139"/>
    <x v="0"/>
    <x v="0"/>
    <x v="183"/>
    <x v="35"/>
    <x v="40"/>
    <x v="277"/>
    <x v="107"/>
    <x v="196"/>
    <x v="0"/>
    <x v="43"/>
  </r>
  <r>
    <x v="373"/>
    <x v="373"/>
    <x v="254"/>
    <x v="0"/>
    <x v="0"/>
    <x v="0"/>
    <x v="0"/>
    <x v="0"/>
    <x v="15"/>
    <x v="15"/>
    <x v="12"/>
    <x v="278"/>
    <x v="108"/>
    <x v="197"/>
    <x v="0"/>
    <x v="0"/>
  </r>
  <r>
    <x v="374"/>
    <x v="374"/>
    <x v="255"/>
    <x v="147"/>
    <x v="7"/>
    <x v="24"/>
    <x v="10"/>
    <x v="11"/>
    <x v="216"/>
    <x v="15"/>
    <x v="31"/>
    <x v="279"/>
    <x v="16"/>
    <x v="68"/>
    <x v="0"/>
    <x v="38"/>
  </r>
  <r>
    <x v="375"/>
    <x v="375"/>
    <x v="102"/>
    <x v="0"/>
    <x v="0"/>
    <x v="0"/>
    <x v="0"/>
    <x v="0"/>
    <x v="15"/>
    <x v="15"/>
    <x v="12"/>
    <x v="16"/>
    <x v="16"/>
    <x v="16"/>
    <x v="0"/>
    <x v="0"/>
  </r>
  <r>
    <x v="376"/>
    <x v="376"/>
    <x v="256"/>
    <x v="1"/>
    <x v="1"/>
    <x v="130"/>
    <x v="0"/>
    <x v="0"/>
    <x v="217"/>
    <x v="1"/>
    <x v="21"/>
    <x v="280"/>
    <x v="109"/>
    <x v="198"/>
    <x v="0"/>
    <x v="1"/>
  </r>
  <r>
    <x v="377"/>
    <x v="377"/>
    <x v="257"/>
    <x v="148"/>
    <x v="16"/>
    <x v="140"/>
    <x v="0"/>
    <x v="0"/>
    <x v="218"/>
    <x v="56"/>
    <x v="9"/>
    <x v="281"/>
    <x v="110"/>
    <x v="199"/>
    <x v="0"/>
    <x v="8"/>
  </r>
  <r>
    <x v="378"/>
    <x v="378"/>
    <x v="258"/>
    <x v="149"/>
    <x v="11"/>
    <x v="24"/>
    <x v="0"/>
    <x v="0"/>
    <x v="219"/>
    <x v="15"/>
    <x v="12"/>
    <x v="282"/>
    <x v="16"/>
    <x v="16"/>
    <x v="0"/>
    <x v="49"/>
  </r>
  <r>
    <x v="379"/>
    <x v="379"/>
    <x v="19"/>
    <x v="2"/>
    <x v="2"/>
    <x v="110"/>
    <x v="0"/>
    <x v="0"/>
    <x v="2"/>
    <x v="2"/>
    <x v="2"/>
    <x v="283"/>
    <x v="111"/>
    <x v="200"/>
    <x v="0"/>
    <x v="2"/>
  </r>
  <r>
    <x v="380"/>
    <x v="380"/>
    <x v="259"/>
    <x v="150"/>
    <x v="3"/>
    <x v="141"/>
    <x v="0"/>
    <x v="0"/>
    <x v="220"/>
    <x v="57"/>
    <x v="57"/>
    <x v="284"/>
    <x v="112"/>
    <x v="201"/>
    <x v="0"/>
    <x v="50"/>
  </r>
  <r>
    <x v="381"/>
    <x v="381"/>
    <x v="260"/>
    <x v="0"/>
    <x v="1"/>
    <x v="142"/>
    <x v="0"/>
    <x v="0"/>
    <x v="221"/>
    <x v="15"/>
    <x v="58"/>
    <x v="285"/>
    <x v="16"/>
    <x v="202"/>
    <x v="0"/>
    <x v="21"/>
  </r>
  <r>
    <x v="382"/>
    <x v="382"/>
    <x v="261"/>
    <x v="151"/>
    <x v="17"/>
    <x v="47"/>
    <x v="0"/>
    <x v="0"/>
    <x v="222"/>
    <x v="15"/>
    <x v="41"/>
    <x v="286"/>
    <x v="16"/>
    <x v="63"/>
    <x v="0"/>
    <x v="51"/>
  </r>
  <r>
    <x v="383"/>
    <x v="383"/>
    <x v="262"/>
    <x v="0"/>
    <x v="1"/>
    <x v="143"/>
    <x v="0"/>
    <x v="0"/>
    <x v="223"/>
    <x v="58"/>
    <x v="46"/>
    <x v="287"/>
    <x v="113"/>
    <x v="100"/>
    <x v="0"/>
    <x v="21"/>
  </r>
  <r>
    <x v="384"/>
    <x v="384"/>
    <x v="263"/>
    <x v="0"/>
    <x v="3"/>
    <x v="144"/>
    <x v="0"/>
    <x v="0"/>
    <x v="224"/>
    <x v="15"/>
    <x v="46"/>
    <x v="288"/>
    <x v="16"/>
    <x v="15"/>
    <x v="0"/>
    <x v="52"/>
  </r>
  <r>
    <x v="385"/>
    <x v="385"/>
    <x v="264"/>
    <x v="0"/>
    <x v="0"/>
    <x v="0"/>
    <x v="0"/>
    <x v="0"/>
    <x v="15"/>
    <x v="15"/>
    <x v="12"/>
    <x v="289"/>
    <x v="114"/>
    <x v="203"/>
    <x v="0"/>
    <x v="0"/>
  </r>
  <r>
    <x v="386"/>
    <x v="386"/>
    <x v="265"/>
    <x v="152"/>
    <x v="1"/>
    <x v="34"/>
    <x v="0"/>
    <x v="0"/>
    <x v="225"/>
    <x v="15"/>
    <x v="9"/>
    <x v="290"/>
    <x v="16"/>
    <x v="204"/>
    <x v="0"/>
    <x v="53"/>
  </r>
  <r>
    <x v="387"/>
    <x v="387"/>
    <x v="266"/>
    <x v="153"/>
    <x v="2"/>
    <x v="145"/>
    <x v="0"/>
    <x v="0"/>
    <x v="226"/>
    <x v="15"/>
    <x v="59"/>
    <x v="291"/>
    <x v="16"/>
    <x v="205"/>
    <x v="0"/>
    <x v="5"/>
  </r>
  <r>
    <x v="388"/>
    <x v="388"/>
    <x v="267"/>
    <x v="153"/>
    <x v="3"/>
    <x v="146"/>
    <x v="0"/>
    <x v="0"/>
    <x v="227"/>
    <x v="15"/>
    <x v="10"/>
    <x v="292"/>
    <x v="16"/>
    <x v="206"/>
    <x v="0"/>
    <x v="5"/>
  </r>
  <r>
    <x v="389"/>
    <x v="389"/>
    <x v="268"/>
    <x v="153"/>
    <x v="3"/>
    <x v="147"/>
    <x v="0"/>
    <x v="0"/>
    <x v="227"/>
    <x v="15"/>
    <x v="10"/>
    <x v="293"/>
    <x v="16"/>
    <x v="207"/>
    <x v="0"/>
    <x v="5"/>
  </r>
  <r>
    <x v="390"/>
    <x v="390"/>
    <x v="269"/>
    <x v="153"/>
    <x v="2"/>
    <x v="129"/>
    <x v="0"/>
    <x v="0"/>
    <x v="226"/>
    <x v="15"/>
    <x v="59"/>
    <x v="294"/>
    <x v="16"/>
    <x v="208"/>
    <x v="0"/>
    <x v="5"/>
  </r>
  <r>
    <x v="391"/>
    <x v="391"/>
    <x v="270"/>
    <x v="152"/>
    <x v="1"/>
    <x v="20"/>
    <x v="0"/>
    <x v="0"/>
    <x v="225"/>
    <x v="15"/>
    <x v="9"/>
    <x v="295"/>
    <x v="16"/>
    <x v="209"/>
    <x v="0"/>
    <x v="5"/>
  </r>
  <r>
    <x v="392"/>
    <x v="392"/>
    <x v="271"/>
    <x v="152"/>
    <x v="1"/>
    <x v="14"/>
    <x v="0"/>
    <x v="0"/>
    <x v="225"/>
    <x v="15"/>
    <x v="9"/>
    <x v="296"/>
    <x v="16"/>
    <x v="210"/>
    <x v="0"/>
    <x v="5"/>
  </r>
  <r>
    <x v="393"/>
    <x v="393"/>
    <x v="272"/>
    <x v="152"/>
    <x v="1"/>
    <x v="53"/>
    <x v="0"/>
    <x v="0"/>
    <x v="225"/>
    <x v="15"/>
    <x v="9"/>
    <x v="297"/>
    <x v="16"/>
    <x v="61"/>
    <x v="0"/>
    <x v="5"/>
  </r>
  <r>
    <x v="394"/>
    <x v="394"/>
    <x v="273"/>
    <x v="152"/>
    <x v="1"/>
    <x v="52"/>
    <x v="0"/>
    <x v="0"/>
    <x v="225"/>
    <x v="15"/>
    <x v="9"/>
    <x v="298"/>
    <x v="16"/>
    <x v="63"/>
    <x v="0"/>
    <x v="5"/>
  </r>
  <r>
    <x v="395"/>
    <x v="386"/>
    <x v="274"/>
    <x v="153"/>
    <x v="2"/>
    <x v="148"/>
    <x v="0"/>
    <x v="0"/>
    <x v="226"/>
    <x v="15"/>
    <x v="59"/>
    <x v="299"/>
    <x v="16"/>
    <x v="211"/>
    <x v="0"/>
    <x v="5"/>
  </r>
  <r>
    <x v="396"/>
    <x v="395"/>
    <x v="275"/>
    <x v="153"/>
    <x v="2"/>
    <x v="34"/>
    <x v="0"/>
    <x v="0"/>
    <x v="226"/>
    <x v="15"/>
    <x v="59"/>
    <x v="300"/>
    <x v="16"/>
    <x v="212"/>
    <x v="0"/>
    <x v="5"/>
  </r>
  <r>
    <x v="397"/>
    <x v="396"/>
    <x v="276"/>
    <x v="153"/>
    <x v="2"/>
    <x v="17"/>
    <x v="0"/>
    <x v="0"/>
    <x v="226"/>
    <x v="15"/>
    <x v="59"/>
    <x v="301"/>
    <x v="16"/>
    <x v="213"/>
    <x v="0"/>
    <x v="5"/>
  </r>
  <r>
    <x v="398"/>
    <x v="397"/>
    <x v="277"/>
    <x v="154"/>
    <x v="3"/>
    <x v="149"/>
    <x v="0"/>
    <x v="0"/>
    <x v="228"/>
    <x v="15"/>
    <x v="10"/>
    <x v="302"/>
    <x v="16"/>
    <x v="214"/>
    <x v="0"/>
    <x v="5"/>
  </r>
  <r>
    <x v="399"/>
    <x v="398"/>
    <x v="278"/>
    <x v="154"/>
    <x v="3"/>
    <x v="150"/>
    <x v="0"/>
    <x v="0"/>
    <x v="228"/>
    <x v="15"/>
    <x v="10"/>
    <x v="303"/>
    <x v="16"/>
    <x v="118"/>
    <x v="0"/>
    <x v="5"/>
  </r>
  <r>
    <x v="400"/>
    <x v="399"/>
    <x v="279"/>
    <x v="154"/>
    <x v="3"/>
    <x v="151"/>
    <x v="0"/>
    <x v="0"/>
    <x v="228"/>
    <x v="15"/>
    <x v="10"/>
    <x v="304"/>
    <x v="16"/>
    <x v="215"/>
    <x v="0"/>
    <x v="5"/>
  </r>
  <r>
    <x v="401"/>
    <x v="400"/>
    <x v="280"/>
    <x v="154"/>
    <x v="3"/>
    <x v="152"/>
    <x v="0"/>
    <x v="0"/>
    <x v="228"/>
    <x v="15"/>
    <x v="10"/>
    <x v="305"/>
    <x v="16"/>
    <x v="216"/>
    <x v="0"/>
    <x v="5"/>
  </r>
  <r>
    <x v="402"/>
    <x v="401"/>
    <x v="281"/>
    <x v="155"/>
    <x v="3"/>
    <x v="153"/>
    <x v="0"/>
    <x v="0"/>
    <x v="228"/>
    <x v="15"/>
    <x v="10"/>
    <x v="306"/>
    <x v="16"/>
    <x v="217"/>
    <x v="0"/>
    <x v="5"/>
  </r>
  <r>
    <x v="403"/>
    <x v="402"/>
    <x v="282"/>
    <x v="153"/>
    <x v="2"/>
    <x v="154"/>
    <x v="0"/>
    <x v="0"/>
    <x v="229"/>
    <x v="15"/>
    <x v="27"/>
    <x v="307"/>
    <x v="16"/>
    <x v="204"/>
    <x v="0"/>
    <x v="5"/>
  </r>
  <r>
    <x v="404"/>
    <x v="403"/>
    <x v="283"/>
    <x v="153"/>
    <x v="2"/>
    <x v="52"/>
    <x v="0"/>
    <x v="0"/>
    <x v="229"/>
    <x v="15"/>
    <x v="27"/>
    <x v="308"/>
    <x v="16"/>
    <x v="96"/>
    <x v="0"/>
    <x v="5"/>
  </r>
  <r>
    <x v="405"/>
    <x v="387"/>
    <x v="284"/>
    <x v="153"/>
    <x v="6"/>
    <x v="48"/>
    <x v="0"/>
    <x v="0"/>
    <x v="230"/>
    <x v="15"/>
    <x v="53"/>
    <x v="309"/>
    <x v="16"/>
    <x v="69"/>
    <x v="0"/>
    <x v="5"/>
  </r>
  <r>
    <x v="406"/>
    <x v="404"/>
    <x v="285"/>
    <x v="153"/>
    <x v="7"/>
    <x v="48"/>
    <x v="0"/>
    <x v="0"/>
    <x v="231"/>
    <x v="15"/>
    <x v="33"/>
    <x v="295"/>
    <x v="16"/>
    <x v="193"/>
    <x v="0"/>
    <x v="5"/>
  </r>
  <r>
    <x v="407"/>
    <x v="405"/>
    <x v="286"/>
    <x v="153"/>
    <x v="7"/>
    <x v="48"/>
    <x v="0"/>
    <x v="0"/>
    <x v="232"/>
    <x v="15"/>
    <x v="60"/>
    <x v="310"/>
    <x v="16"/>
    <x v="59"/>
    <x v="0"/>
    <x v="5"/>
  </r>
  <r>
    <x v="408"/>
    <x v="406"/>
    <x v="287"/>
    <x v="156"/>
    <x v="10"/>
    <x v="155"/>
    <x v="0"/>
    <x v="0"/>
    <x v="233"/>
    <x v="15"/>
    <x v="49"/>
    <x v="311"/>
    <x v="16"/>
    <x v="218"/>
    <x v="0"/>
    <x v="5"/>
  </r>
  <r>
    <x v="409"/>
    <x v="407"/>
    <x v="288"/>
    <x v="157"/>
    <x v="3"/>
    <x v="123"/>
    <x v="0"/>
    <x v="0"/>
    <x v="234"/>
    <x v="15"/>
    <x v="10"/>
    <x v="312"/>
    <x v="16"/>
    <x v="69"/>
    <x v="0"/>
    <x v="5"/>
  </r>
  <r>
    <x v="410"/>
    <x v="408"/>
    <x v="289"/>
    <x v="158"/>
    <x v="7"/>
    <x v="24"/>
    <x v="10"/>
    <x v="11"/>
    <x v="235"/>
    <x v="15"/>
    <x v="26"/>
    <x v="298"/>
    <x v="16"/>
    <x v="63"/>
    <x v="0"/>
    <x v="5"/>
  </r>
  <r>
    <x v="411"/>
    <x v="409"/>
    <x v="290"/>
    <x v="159"/>
    <x v="10"/>
    <x v="123"/>
    <x v="0"/>
    <x v="0"/>
    <x v="236"/>
    <x v="15"/>
    <x v="11"/>
    <x v="313"/>
    <x v="16"/>
    <x v="219"/>
    <x v="0"/>
    <x v="5"/>
  </r>
  <r>
    <x v="412"/>
    <x v="410"/>
    <x v="291"/>
    <x v="160"/>
    <x v="18"/>
    <x v="24"/>
    <x v="0"/>
    <x v="0"/>
    <x v="237"/>
    <x v="15"/>
    <x v="27"/>
    <x v="314"/>
    <x v="16"/>
    <x v="61"/>
    <x v="0"/>
    <x v="5"/>
  </r>
  <r>
    <x v="413"/>
    <x v="411"/>
    <x v="292"/>
    <x v="153"/>
    <x v="2"/>
    <x v="24"/>
    <x v="0"/>
    <x v="0"/>
    <x v="238"/>
    <x v="15"/>
    <x v="61"/>
    <x v="315"/>
    <x v="16"/>
    <x v="220"/>
    <x v="0"/>
    <x v="5"/>
  </r>
  <r>
    <x v="414"/>
    <x v="412"/>
    <x v="293"/>
    <x v="153"/>
    <x v="2"/>
    <x v="24"/>
    <x v="0"/>
    <x v="0"/>
    <x v="238"/>
    <x v="15"/>
    <x v="61"/>
    <x v="315"/>
    <x v="16"/>
    <x v="220"/>
    <x v="0"/>
    <x v="5"/>
  </r>
  <r>
    <x v="415"/>
    <x v="388"/>
    <x v="294"/>
    <x v="153"/>
    <x v="10"/>
    <x v="156"/>
    <x v="0"/>
    <x v="0"/>
    <x v="233"/>
    <x v="15"/>
    <x v="49"/>
    <x v="316"/>
    <x v="16"/>
    <x v="221"/>
    <x v="0"/>
    <x v="5"/>
  </r>
  <r>
    <x v="416"/>
    <x v="413"/>
    <x v="295"/>
    <x v="153"/>
    <x v="1"/>
    <x v="157"/>
    <x v="0"/>
    <x v="0"/>
    <x v="239"/>
    <x v="15"/>
    <x v="10"/>
    <x v="317"/>
    <x v="16"/>
    <x v="222"/>
    <x v="0"/>
    <x v="5"/>
  </r>
  <r>
    <x v="417"/>
    <x v="414"/>
    <x v="296"/>
    <x v="153"/>
    <x v="2"/>
    <x v="41"/>
    <x v="0"/>
    <x v="0"/>
    <x v="238"/>
    <x v="15"/>
    <x v="61"/>
    <x v="318"/>
    <x v="16"/>
    <x v="170"/>
    <x v="0"/>
    <x v="5"/>
  </r>
  <r>
    <x v="418"/>
    <x v="415"/>
    <x v="297"/>
    <x v="153"/>
    <x v="1"/>
    <x v="37"/>
    <x v="0"/>
    <x v="0"/>
    <x v="239"/>
    <x v="15"/>
    <x v="10"/>
    <x v="319"/>
    <x v="16"/>
    <x v="223"/>
    <x v="0"/>
    <x v="5"/>
  </r>
  <r>
    <x v="419"/>
    <x v="416"/>
    <x v="298"/>
    <x v="161"/>
    <x v="3"/>
    <x v="133"/>
    <x v="0"/>
    <x v="0"/>
    <x v="228"/>
    <x v="15"/>
    <x v="10"/>
    <x v="320"/>
    <x v="16"/>
    <x v="175"/>
    <x v="0"/>
    <x v="5"/>
  </r>
  <r>
    <x v="420"/>
    <x v="417"/>
    <x v="299"/>
    <x v="162"/>
    <x v="2"/>
    <x v="158"/>
    <x v="0"/>
    <x v="0"/>
    <x v="226"/>
    <x v="15"/>
    <x v="59"/>
    <x v="321"/>
    <x v="16"/>
    <x v="224"/>
    <x v="0"/>
    <x v="5"/>
  </r>
  <r>
    <x v="421"/>
    <x v="418"/>
    <x v="300"/>
    <x v="153"/>
    <x v="2"/>
    <x v="53"/>
    <x v="0"/>
    <x v="0"/>
    <x v="226"/>
    <x v="15"/>
    <x v="59"/>
    <x v="322"/>
    <x v="16"/>
    <x v="225"/>
    <x v="0"/>
    <x v="5"/>
  </r>
  <r>
    <x v="422"/>
    <x v="419"/>
    <x v="301"/>
    <x v="163"/>
    <x v="19"/>
    <x v="48"/>
    <x v="0"/>
    <x v="0"/>
    <x v="231"/>
    <x v="15"/>
    <x v="33"/>
    <x v="295"/>
    <x v="16"/>
    <x v="193"/>
    <x v="0"/>
    <x v="5"/>
  </r>
  <r>
    <x v="423"/>
    <x v="420"/>
    <x v="302"/>
    <x v="153"/>
    <x v="2"/>
    <x v="122"/>
    <x v="0"/>
    <x v="0"/>
    <x v="240"/>
    <x v="15"/>
    <x v="25"/>
    <x v="323"/>
    <x v="16"/>
    <x v="226"/>
    <x v="0"/>
    <x v="5"/>
  </r>
  <r>
    <x v="424"/>
    <x v="421"/>
    <x v="303"/>
    <x v="153"/>
    <x v="2"/>
    <x v="159"/>
    <x v="0"/>
    <x v="0"/>
    <x v="240"/>
    <x v="15"/>
    <x v="25"/>
    <x v="324"/>
    <x v="16"/>
    <x v="227"/>
    <x v="0"/>
    <x v="5"/>
  </r>
  <r>
    <x v="425"/>
    <x v="389"/>
    <x v="304"/>
    <x v="164"/>
    <x v="3"/>
    <x v="160"/>
    <x v="0"/>
    <x v="0"/>
    <x v="228"/>
    <x v="15"/>
    <x v="10"/>
    <x v="325"/>
    <x v="16"/>
    <x v="228"/>
    <x v="0"/>
    <x v="5"/>
  </r>
  <r>
    <x v="426"/>
    <x v="422"/>
    <x v="305"/>
    <x v="162"/>
    <x v="2"/>
    <x v="154"/>
    <x v="0"/>
    <x v="0"/>
    <x v="240"/>
    <x v="15"/>
    <x v="25"/>
    <x v="297"/>
    <x v="16"/>
    <x v="64"/>
    <x v="0"/>
    <x v="5"/>
  </r>
  <r>
    <x v="427"/>
    <x v="423"/>
    <x v="306"/>
    <x v="153"/>
    <x v="2"/>
    <x v="19"/>
    <x v="0"/>
    <x v="0"/>
    <x v="240"/>
    <x v="15"/>
    <x v="25"/>
    <x v="322"/>
    <x v="16"/>
    <x v="225"/>
    <x v="0"/>
    <x v="5"/>
  </r>
  <r>
    <x v="428"/>
    <x v="424"/>
    <x v="307"/>
    <x v="153"/>
    <x v="2"/>
    <x v="110"/>
    <x v="0"/>
    <x v="0"/>
    <x v="240"/>
    <x v="15"/>
    <x v="25"/>
    <x v="326"/>
    <x v="16"/>
    <x v="229"/>
    <x v="0"/>
    <x v="5"/>
  </r>
  <r>
    <x v="429"/>
    <x v="425"/>
    <x v="308"/>
    <x v="153"/>
    <x v="3"/>
    <x v="161"/>
    <x v="0"/>
    <x v="0"/>
    <x v="227"/>
    <x v="15"/>
    <x v="10"/>
    <x v="327"/>
    <x v="16"/>
    <x v="230"/>
    <x v="0"/>
    <x v="5"/>
  </r>
  <r>
    <x v="430"/>
    <x v="426"/>
    <x v="309"/>
    <x v="153"/>
    <x v="2"/>
    <x v="154"/>
    <x v="0"/>
    <x v="0"/>
    <x v="240"/>
    <x v="15"/>
    <x v="25"/>
    <x v="297"/>
    <x v="16"/>
    <x v="64"/>
    <x v="0"/>
    <x v="5"/>
  </r>
  <r>
    <x v="431"/>
    <x v="427"/>
    <x v="299"/>
    <x v="162"/>
    <x v="2"/>
    <x v="162"/>
    <x v="0"/>
    <x v="0"/>
    <x v="240"/>
    <x v="15"/>
    <x v="25"/>
    <x v="328"/>
    <x v="16"/>
    <x v="231"/>
    <x v="0"/>
    <x v="5"/>
  </r>
  <r>
    <x v="432"/>
    <x v="428"/>
    <x v="310"/>
    <x v="153"/>
    <x v="1"/>
    <x v="141"/>
    <x v="0"/>
    <x v="0"/>
    <x v="239"/>
    <x v="15"/>
    <x v="10"/>
    <x v="329"/>
    <x v="16"/>
    <x v="225"/>
    <x v="0"/>
    <x v="5"/>
  </r>
  <r>
    <x v="433"/>
    <x v="429"/>
    <x v="311"/>
    <x v="153"/>
    <x v="2"/>
    <x v="47"/>
    <x v="0"/>
    <x v="0"/>
    <x v="240"/>
    <x v="15"/>
    <x v="25"/>
    <x v="298"/>
    <x v="16"/>
    <x v="59"/>
    <x v="0"/>
    <x v="5"/>
  </r>
  <r>
    <x v="434"/>
    <x v="430"/>
    <x v="312"/>
    <x v="0"/>
    <x v="6"/>
    <x v="48"/>
    <x v="0"/>
    <x v="0"/>
    <x v="241"/>
    <x v="15"/>
    <x v="62"/>
    <x v="330"/>
    <x v="16"/>
    <x v="60"/>
    <x v="0"/>
    <x v="5"/>
  </r>
  <r>
    <x v="435"/>
    <x v="390"/>
    <x v="313"/>
    <x v="153"/>
    <x v="1"/>
    <x v="79"/>
    <x v="0"/>
    <x v="0"/>
    <x v="239"/>
    <x v="15"/>
    <x v="10"/>
    <x v="331"/>
    <x v="16"/>
    <x v="180"/>
    <x v="0"/>
    <x v="5"/>
  </r>
  <r>
    <x v="436"/>
    <x v="431"/>
    <x v="314"/>
    <x v="165"/>
    <x v="1"/>
    <x v="115"/>
    <x v="0"/>
    <x v="0"/>
    <x v="234"/>
    <x v="15"/>
    <x v="10"/>
    <x v="332"/>
    <x v="16"/>
    <x v="84"/>
    <x v="0"/>
    <x v="5"/>
  </r>
  <r>
    <x v="437"/>
    <x v="432"/>
    <x v="315"/>
    <x v="24"/>
    <x v="6"/>
    <x v="48"/>
    <x v="0"/>
    <x v="0"/>
    <x v="242"/>
    <x v="15"/>
    <x v="32"/>
    <x v="333"/>
    <x v="16"/>
    <x v="68"/>
    <x v="0"/>
    <x v="5"/>
  </r>
  <r>
    <x v="438"/>
    <x v="433"/>
    <x v="316"/>
    <x v="153"/>
    <x v="2"/>
    <x v="24"/>
    <x v="0"/>
    <x v="0"/>
    <x v="240"/>
    <x v="15"/>
    <x v="25"/>
    <x v="330"/>
    <x v="16"/>
    <x v="60"/>
    <x v="0"/>
    <x v="5"/>
  </r>
  <r>
    <x v="439"/>
    <x v="434"/>
    <x v="317"/>
    <x v="164"/>
    <x v="1"/>
    <x v="42"/>
    <x v="0"/>
    <x v="0"/>
    <x v="239"/>
    <x v="15"/>
    <x v="10"/>
    <x v="334"/>
    <x v="16"/>
    <x v="54"/>
    <x v="0"/>
    <x v="5"/>
  </r>
  <r>
    <x v="440"/>
    <x v="435"/>
    <x v="318"/>
    <x v="166"/>
    <x v="1"/>
    <x v="46"/>
    <x v="0"/>
    <x v="0"/>
    <x v="239"/>
    <x v="15"/>
    <x v="10"/>
    <x v="335"/>
    <x v="16"/>
    <x v="232"/>
    <x v="0"/>
    <x v="5"/>
  </r>
  <r>
    <x v="441"/>
    <x v="436"/>
    <x v="319"/>
    <x v="167"/>
    <x v="19"/>
    <x v="48"/>
    <x v="0"/>
    <x v="0"/>
    <x v="243"/>
    <x v="59"/>
    <x v="63"/>
    <x v="336"/>
    <x v="114"/>
    <x v="233"/>
    <x v="0"/>
    <x v="5"/>
  </r>
  <r>
    <x v="442"/>
    <x v="437"/>
    <x v="320"/>
    <x v="168"/>
    <x v="6"/>
    <x v="24"/>
    <x v="0"/>
    <x v="0"/>
    <x v="244"/>
    <x v="15"/>
    <x v="64"/>
    <x v="337"/>
    <x v="16"/>
    <x v="202"/>
    <x v="0"/>
    <x v="5"/>
  </r>
  <r>
    <x v="443"/>
    <x v="438"/>
    <x v="321"/>
    <x v="169"/>
    <x v="19"/>
    <x v="48"/>
    <x v="0"/>
    <x v="0"/>
    <x v="245"/>
    <x v="15"/>
    <x v="65"/>
    <x v="338"/>
    <x v="16"/>
    <x v="212"/>
    <x v="0"/>
    <x v="5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301" firstHeaderRow="0" firstDataRow="1" firstDataCol="1" rowPageCount="1" colPageCount="1"/>
  <pivotFields count="16">
    <pivotField compact="0" showAll="0">
      <items count="4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t="default"/>
      </items>
    </pivotField>
    <pivotField axis="axisPage" compact="0" multipleItemSelectionAllowed="1" showAll="0">
      <items count="440">
        <item h="1" sd="0" x="0"/>
        <item h="1" sd="0" x="1"/>
        <item h="1" sd="0" x="16"/>
        <item h="1" sd="0" x="24"/>
        <item h="1" sd="0" x="29"/>
        <item h="1" x="34"/>
        <item h="1" x="39"/>
        <item h="1" x="43"/>
        <item h="1" x="61"/>
        <item h="1" x="65"/>
        <item h="1" x="105"/>
        <item h="1" x="108"/>
        <item h="1" x="119"/>
        <item h="1" x="122"/>
        <item h="1" x="129"/>
        <item h="1" x="131"/>
        <item h="1" x="132"/>
        <item h="1" x="143"/>
        <item h="1" x="156"/>
        <item h="1" x="158"/>
        <item h="1" x="173"/>
        <item h="1" x="253"/>
        <item h="1" x="256"/>
        <item h="1" x="263"/>
        <item h="1" x="280"/>
        <item h="1" x="296"/>
        <item h="1" x="297"/>
        <item h="1" x="309"/>
        <item h="1" x="316"/>
        <item h="1" x="326"/>
        <item h="1" x="334"/>
        <item h="1" x="345"/>
        <item h="1" x="352"/>
        <item h="1" x="358"/>
        <item h="1" x="373"/>
        <item h="1" x="375"/>
        <item h="1" x="385"/>
        <item x="386"/>
        <item x="395"/>
        <item x="396"/>
        <item x="397"/>
        <item x="398"/>
        <item x="399"/>
        <item x="400"/>
        <item x="401"/>
        <item x="402"/>
        <item x="403"/>
        <item x="387"/>
        <item x="404"/>
        <item x="405"/>
        <item x="406"/>
        <item x="407"/>
        <item x="408"/>
        <item x="409"/>
        <item x="410"/>
        <item x="411"/>
        <item x="412"/>
        <item x="388"/>
        <item x="413"/>
        <item x="414"/>
        <item x="415"/>
        <item x="416"/>
        <item x="417"/>
        <item x="418"/>
        <item x="419"/>
        <item x="420"/>
        <item x="421"/>
        <item x="389"/>
        <item x="422"/>
        <item x="423"/>
        <item x="424"/>
        <item x="425"/>
        <item x="426"/>
        <item x="427"/>
        <item x="428"/>
        <item x="429"/>
        <item x="430"/>
        <item x="390"/>
        <item x="431"/>
        <item x="432"/>
        <item x="433"/>
        <item x="434"/>
        <item x="435"/>
        <item x="436"/>
        <item x="437"/>
        <item x="391"/>
        <item x="392"/>
        <item x="393"/>
        <item x="394"/>
        <item x="438"/>
        <item x="298"/>
        <item x="307"/>
        <item x="308"/>
        <item x="299"/>
        <item x="300"/>
        <item x="301"/>
        <item x="302"/>
        <item x="303"/>
        <item x="304"/>
        <item x="305"/>
        <item x="306"/>
        <item x="317"/>
        <item x="318"/>
        <item x="319"/>
        <item x="320"/>
        <item x="321"/>
        <item x="322"/>
        <item x="323"/>
        <item x="324"/>
        <item x="325"/>
        <item x="335"/>
        <item x="336"/>
        <item x="337"/>
        <item x="338"/>
        <item x="339"/>
        <item x="340"/>
        <item x="341"/>
        <item x="342"/>
        <item x="343"/>
        <item x="344"/>
        <item x="353"/>
        <item x="354"/>
        <item x="355"/>
        <item x="356"/>
        <item x="357"/>
        <item x="374"/>
        <item x="66"/>
        <item x="67"/>
        <item x="76"/>
        <item x="77"/>
        <item x="78"/>
        <item x="79"/>
        <item x="80"/>
        <item x="81"/>
        <item x="82"/>
        <item x="83"/>
        <item x="84"/>
        <item x="85"/>
        <item x="68"/>
        <item x="86"/>
        <item x="87"/>
        <item x="88"/>
        <item x="89"/>
        <item x="90"/>
        <item x="91"/>
        <item x="92"/>
        <item x="93"/>
        <item x="94"/>
        <item x="95"/>
        <item x="69"/>
        <item x="96"/>
        <item x="97"/>
        <item x="98"/>
        <item x="99"/>
        <item x="100"/>
        <item x="101"/>
        <item x="102"/>
        <item x="103"/>
        <item x="104"/>
        <item x="70"/>
        <item x="71"/>
        <item x="72"/>
        <item x="73"/>
        <item x="74"/>
        <item x="75"/>
        <item x="109"/>
        <item x="110"/>
        <item x="111"/>
        <item x="112"/>
        <item x="113"/>
        <item x="114"/>
        <item x="115"/>
        <item x="116"/>
        <item x="117"/>
        <item x="118"/>
        <item x="123"/>
        <item x="124"/>
        <item x="125"/>
        <item x="126"/>
        <item x="127"/>
        <item x="128"/>
        <item x="144"/>
        <item x="145"/>
        <item x="154"/>
        <item x="155"/>
        <item x="146"/>
        <item x="147"/>
        <item x="148"/>
        <item x="149"/>
        <item x="150"/>
        <item x="151"/>
        <item x="152"/>
        <item x="153"/>
        <item x="159"/>
        <item x="160"/>
        <item x="169"/>
        <item x="170"/>
        <item x="171"/>
        <item x="172"/>
        <item x="161"/>
        <item x="162"/>
        <item x="163"/>
        <item x="164"/>
        <item x="165"/>
        <item x="166"/>
        <item x="167"/>
        <item x="168"/>
        <item x="254"/>
        <item x="255"/>
        <item x="264"/>
        <item x="265"/>
        <item x="274"/>
        <item x="275"/>
        <item x="276"/>
        <item x="277"/>
        <item x="278"/>
        <item x="279"/>
        <item x="266"/>
        <item x="267"/>
        <item x="268"/>
        <item x="269"/>
        <item x="270"/>
        <item x="271"/>
        <item x="272"/>
        <item x="273"/>
        <item x="2"/>
        <item x="11"/>
        <item x="12"/>
        <item x="13"/>
        <item x="14"/>
        <item x="15"/>
        <item x="3"/>
        <item x="4"/>
        <item x="5"/>
        <item x="6"/>
        <item x="7"/>
        <item x="8"/>
        <item x="9"/>
        <item x="10"/>
        <item x="17"/>
        <item x="18"/>
        <item x="19"/>
        <item x="20"/>
        <item x="21"/>
        <item x="22"/>
        <item x="23"/>
        <item x="25"/>
        <item x="26"/>
        <item x="27"/>
        <item x="28"/>
        <item x="30"/>
        <item x="31"/>
        <item x="32"/>
        <item x="33"/>
        <item x="35"/>
        <item x="36"/>
        <item x="37"/>
        <item x="38"/>
        <item x="40"/>
        <item x="41"/>
        <item x="42"/>
        <item x="44"/>
        <item x="53"/>
        <item x="54"/>
        <item x="55"/>
        <item x="56"/>
        <item x="57"/>
        <item x="58"/>
        <item x="59"/>
        <item x="60"/>
        <item x="45"/>
        <item x="46"/>
        <item x="47"/>
        <item x="48"/>
        <item x="49"/>
        <item x="50"/>
        <item x="51"/>
        <item x="52"/>
        <item x="62"/>
        <item x="63"/>
        <item x="64"/>
        <item x="310"/>
        <item x="311"/>
        <item x="312"/>
        <item x="313"/>
        <item x="314"/>
        <item x="315"/>
        <item x="327"/>
        <item x="328"/>
        <item x="329"/>
        <item x="330"/>
        <item x="331"/>
        <item x="332"/>
        <item x="333"/>
        <item x="346"/>
        <item x="347"/>
        <item x="348"/>
        <item x="349"/>
        <item x="350"/>
        <item x="351"/>
        <item x="359"/>
        <item x="368"/>
        <item x="369"/>
        <item x="370"/>
        <item x="371"/>
        <item x="372"/>
        <item x="360"/>
        <item x="361"/>
        <item x="362"/>
        <item x="363"/>
        <item x="364"/>
        <item x="365"/>
        <item x="366"/>
        <item x="367"/>
        <item x="376"/>
        <item x="377"/>
        <item x="378"/>
        <item x="379"/>
        <item x="380"/>
        <item x="381"/>
        <item x="382"/>
        <item x="383"/>
        <item x="384"/>
        <item x="106"/>
        <item x="107"/>
        <item x="120"/>
        <item x="121"/>
        <item x="130"/>
        <item x="133"/>
        <item x="142"/>
        <item x="134"/>
        <item x="135"/>
        <item x="136"/>
        <item x="137"/>
        <item x="138"/>
        <item x="139"/>
        <item x="140"/>
        <item x="141"/>
        <item x="157"/>
        <item x="174"/>
        <item x="183"/>
        <item x="184"/>
        <item x="185"/>
        <item x="186"/>
        <item x="187"/>
        <item x="188"/>
        <item x="189"/>
        <item x="190"/>
        <item x="191"/>
        <item x="192"/>
        <item x="175"/>
        <item x="193"/>
        <item x="194"/>
        <item x="195"/>
        <item x="196"/>
        <item x="197"/>
        <item x="198"/>
        <item x="199"/>
        <item x="200"/>
        <item x="201"/>
        <item x="202"/>
        <item x="176"/>
        <item x="203"/>
        <item x="204"/>
        <item x="205"/>
        <item x="206"/>
        <item x="207"/>
        <item x="208"/>
        <item x="209"/>
        <item x="210"/>
        <item x="211"/>
        <item x="212"/>
        <item x="177"/>
        <item x="213"/>
        <item x="214"/>
        <item x="215"/>
        <item x="216"/>
        <item x="217"/>
        <item x="218"/>
        <item x="219"/>
        <item x="220"/>
        <item x="221"/>
        <item x="222"/>
        <item x="178"/>
        <item x="223"/>
        <item x="224"/>
        <item x="225"/>
        <item x="226"/>
        <item x="227"/>
        <item x="228"/>
        <item x="229"/>
        <item x="230"/>
        <item x="231"/>
        <item x="232"/>
        <item x="179"/>
        <item x="233"/>
        <item x="234"/>
        <item x="235"/>
        <item x="236"/>
        <item x="237"/>
        <item x="238"/>
        <item x="239"/>
        <item x="240"/>
        <item x="241"/>
        <item x="242"/>
        <item x="180"/>
        <item x="243"/>
        <item x="244"/>
        <item x="245"/>
        <item x="246"/>
        <item x="247"/>
        <item x="248"/>
        <item x="249"/>
        <item x="250"/>
        <item x="251"/>
        <item x="252"/>
        <item x="181"/>
        <item x="182"/>
        <item x="257"/>
        <item x="258"/>
        <item x="259"/>
        <item x="260"/>
        <item x="261"/>
        <item x="262"/>
        <item x="281"/>
        <item x="290"/>
        <item x="291"/>
        <item x="292"/>
        <item x="293"/>
        <item x="294"/>
        <item x="295"/>
        <item x="282"/>
        <item x="283"/>
        <item x="284"/>
        <item x="285"/>
        <item x="286"/>
        <item x="287"/>
        <item x="288"/>
        <item x="289"/>
        <item t="default"/>
      </items>
    </pivotField>
    <pivotField axis="axisRow" compact="0" sortType="descending" showAll="0">
      <items count="323">
        <item x="170"/>
        <item x="172"/>
        <item x="94"/>
        <item x="96"/>
        <item x="97"/>
        <item x="99"/>
        <item x="232"/>
        <item x="54"/>
        <item x="98"/>
        <item x="101"/>
        <item x="56"/>
        <item x="55"/>
        <item x="238"/>
        <item x="247"/>
        <item x="193"/>
        <item x="195"/>
        <item x="123"/>
        <item x="186"/>
        <item x="185"/>
        <item x="194"/>
        <item x="191"/>
        <item x="146"/>
        <item x="163"/>
        <item x="207"/>
        <item x="235"/>
        <item x="231"/>
        <item x="233"/>
        <item x="234"/>
        <item x="9"/>
        <item x="187"/>
        <item x="92"/>
        <item x="291"/>
        <item x="289"/>
        <item x="315"/>
        <item x="312"/>
        <item x="290"/>
        <item x="320"/>
        <item x="153"/>
        <item x="154"/>
        <item x="112"/>
        <item x="103"/>
        <item x="102"/>
        <item x="35"/>
        <item x="140"/>
        <item x="139"/>
        <item x="202"/>
        <item x="321"/>
        <item x="93"/>
        <item x="183"/>
        <item x="264"/>
        <item x="308"/>
        <item x="287"/>
        <item x="280"/>
        <item x="284"/>
        <item x="281"/>
        <item x="266"/>
        <item x="301"/>
        <item x="265"/>
        <item x="314"/>
        <item x="299"/>
        <item x="303"/>
        <item x="316"/>
        <item x="298"/>
        <item x="305"/>
        <item x="306"/>
        <item x="302"/>
        <item x="288"/>
        <item x="294"/>
        <item x="313"/>
        <item x="292"/>
        <item x="278"/>
        <item x="300"/>
        <item x="293"/>
        <item x="304"/>
        <item x="307"/>
        <item x="297"/>
        <item x="275"/>
        <item x="272"/>
        <item x="310"/>
        <item x="285"/>
        <item x="269"/>
        <item x="311"/>
        <item x="270"/>
        <item x="283"/>
        <item x="271"/>
        <item x="295"/>
        <item x="276"/>
        <item x="309"/>
        <item x="318"/>
        <item x="282"/>
        <item x="274"/>
        <item x="273"/>
        <item x="279"/>
        <item x="277"/>
        <item x="286"/>
        <item x="317"/>
        <item x="258"/>
        <item x="68"/>
        <item x="88"/>
        <item x="87"/>
        <item x="169"/>
        <item x="73"/>
        <item x="246"/>
        <item x="248"/>
        <item x="192"/>
        <item x="105"/>
        <item x="159"/>
        <item x="49"/>
        <item x="58"/>
        <item x="61"/>
        <item x="27"/>
        <item x="43"/>
        <item x="184"/>
        <item x="11"/>
        <item x="41"/>
        <item x="131"/>
        <item x="69"/>
        <item x="242"/>
        <item x="251"/>
        <item x="319"/>
        <item x="28"/>
        <item x="168"/>
        <item x="137"/>
        <item x="135"/>
        <item x="36"/>
        <item x="241"/>
        <item x="175"/>
        <item x="40"/>
        <item x="208"/>
        <item x="150"/>
        <item x="138"/>
        <item x="161"/>
        <item x="118"/>
        <item x="236"/>
        <item x="143"/>
        <item x="244"/>
        <item x="155"/>
        <item x="199"/>
        <item x="229"/>
        <item x="147"/>
        <item x="115"/>
        <item x="114"/>
        <item x="72"/>
        <item x="70"/>
        <item x="133"/>
        <item x="134"/>
        <item x="38"/>
        <item x="127"/>
        <item x="200"/>
        <item x="203"/>
        <item x="206"/>
        <item x="32"/>
        <item x="122"/>
        <item x="148"/>
        <item x="197"/>
        <item x="257"/>
        <item x="176"/>
        <item x="51"/>
        <item x="12"/>
        <item x="120"/>
        <item x="21"/>
        <item x="82"/>
        <item x="81"/>
        <item x="83"/>
        <item x="116"/>
        <item x="37"/>
        <item x="129"/>
        <item x="243"/>
        <item x="62"/>
        <item x="201"/>
        <item x="50"/>
        <item x="44"/>
        <item x="226"/>
        <item x="223"/>
        <item x="210"/>
        <item x="205"/>
        <item x="250"/>
        <item x="211"/>
        <item x="252"/>
        <item x="48"/>
        <item x="25"/>
        <item x="26"/>
        <item x="117"/>
        <item x="119"/>
        <item x="100"/>
        <item x="245"/>
        <item x="198"/>
        <item x="15"/>
        <item x="33"/>
        <item x="204"/>
        <item x="64"/>
        <item x="74"/>
        <item x="71"/>
        <item x="66"/>
        <item x="65"/>
        <item x="145"/>
        <item x="95"/>
        <item x="164"/>
        <item x="30"/>
        <item x="141"/>
        <item x="239"/>
        <item x="171"/>
        <item x="157"/>
        <item x="158"/>
        <item x="240"/>
        <item x="132"/>
        <item x="79"/>
        <item x="85"/>
        <item x="86"/>
        <item x="84"/>
        <item x="182"/>
        <item x="237"/>
        <item x="13"/>
        <item x="110"/>
        <item x="152"/>
        <item x="151"/>
        <item x="225"/>
        <item x="156"/>
        <item x="167"/>
        <item x="224"/>
        <item x="23"/>
        <item x="253"/>
        <item x="39"/>
        <item x="136"/>
        <item x="218"/>
        <item x="22"/>
        <item x="296"/>
        <item x="77"/>
        <item x="42"/>
        <item x="181"/>
        <item x="219"/>
        <item x="52"/>
        <item x="53"/>
        <item x="31"/>
        <item x="268"/>
        <item x="162"/>
        <item x="214"/>
        <item x="104"/>
        <item x="177"/>
        <item x="113"/>
        <item x="89"/>
        <item x="14"/>
        <item x="63"/>
        <item x="67"/>
        <item x="121"/>
        <item x="57"/>
        <item x="109"/>
        <item x="108"/>
        <item x="261"/>
        <item x="126"/>
        <item x="228"/>
        <item x="262"/>
        <item x="263"/>
        <item x="174"/>
        <item x="255"/>
        <item x="46"/>
        <item x="90"/>
        <item x="75"/>
        <item x="216"/>
        <item x="125"/>
        <item x="160"/>
        <item x="166"/>
        <item x="260"/>
        <item x="0"/>
        <item x="2"/>
        <item x="3"/>
        <item x="17"/>
        <item x="78"/>
        <item x="24"/>
        <item x="16"/>
        <item x="20"/>
        <item x="18"/>
        <item x="4"/>
        <item x="8"/>
        <item x="7"/>
        <item x="209"/>
        <item x="249"/>
        <item x="130"/>
        <item x="5"/>
        <item x="267"/>
        <item x="111"/>
        <item x="227"/>
        <item x="142"/>
        <item x="217"/>
        <item x="29"/>
        <item x="259"/>
        <item x="256"/>
        <item x="47"/>
        <item x="1"/>
        <item x="179"/>
        <item x="180"/>
        <item x="80"/>
        <item x="45"/>
        <item x="107"/>
        <item x="106"/>
        <item x="34"/>
        <item x="230"/>
        <item x="178"/>
        <item x="173"/>
        <item x="149"/>
        <item x="19"/>
        <item x="6"/>
        <item x="91"/>
        <item x="76"/>
        <item x="213"/>
        <item x="215"/>
        <item x="144"/>
        <item x="220"/>
        <item x="128"/>
        <item x="165"/>
        <item x="124"/>
        <item x="10"/>
        <item x="196"/>
        <item x="212"/>
        <item x="254"/>
        <item x="221"/>
        <item x="188"/>
        <item x="189"/>
        <item x="190"/>
        <item x="222"/>
        <item x="59"/>
        <item x="6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71">
        <item x="5"/>
        <item x="4"/>
        <item x="11"/>
        <item x="18"/>
        <item x="19"/>
        <item x="6"/>
        <item x="7"/>
        <item x="93"/>
        <item x="99"/>
        <item x="79"/>
        <item x="86"/>
        <item x="80"/>
        <item x="81"/>
        <item x="12"/>
        <item x="21"/>
        <item x="24"/>
        <item x="82"/>
        <item x="115"/>
        <item x="45"/>
        <item x="83"/>
        <item x="74"/>
        <item x="124"/>
        <item x="112"/>
        <item x="122"/>
        <item x="84"/>
        <item x="53"/>
        <item x="50"/>
        <item x="75"/>
        <item x="52"/>
        <item x="54"/>
        <item x="44"/>
        <item x="58"/>
        <item x="66"/>
        <item x="73"/>
        <item x="59"/>
        <item x="72"/>
        <item x="67"/>
        <item x="51"/>
        <item x="62"/>
        <item x="64"/>
        <item x="63"/>
        <item x="55"/>
        <item x="69"/>
        <item x="71"/>
        <item x="156"/>
        <item x="65"/>
        <item x="70"/>
        <item x="121"/>
        <item x="158"/>
        <item x="168"/>
        <item x="147"/>
        <item x="91"/>
        <item x="107"/>
        <item x="47"/>
        <item x="76"/>
        <item x="48"/>
        <item x="49"/>
        <item x="10"/>
        <item x="77"/>
        <item x="60"/>
        <item x="61"/>
        <item x="68"/>
        <item x="56"/>
        <item x="57"/>
        <item x="160"/>
        <item x="104"/>
        <item x="92"/>
        <item x="43"/>
        <item x="78"/>
        <item x="85"/>
        <item x="87"/>
        <item x="1"/>
        <item x="22"/>
        <item x="13"/>
        <item x="20"/>
        <item x="35"/>
        <item x="36"/>
        <item x="34"/>
        <item x="26"/>
        <item x="25"/>
        <item x="33"/>
        <item x="30"/>
        <item x="41"/>
        <item x="40"/>
        <item x="89"/>
        <item x="29"/>
        <item x="90"/>
        <item x="32"/>
        <item x="27"/>
        <item x="31"/>
        <item x="28"/>
        <item x="42"/>
        <item x="111"/>
        <item x="128"/>
        <item x="138"/>
        <item x="137"/>
        <item x="135"/>
        <item x="130"/>
        <item x="116"/>
        <item x="146"/>
        <item x="142"/>
        <item x="145"/>
        <item x="144"/>
        <item x="38"/>
        <item x="37"/>
        <item x="123"/>
        <item x="88"/>
        <item x="136"/>
        <item x="141"/>
        <item x="143"/>
        <item x="119"/>
        <item x="120"/>
        <item x="100"/>
        <item x="101"/>
        <item x="102"/>
        <item x="103"/>
        <item x="97"/>
        <item x="98"/>
        <item x="96"/>
        <item x="113"/>
        <item x="129"/>
        <item x="95"/>
        <item x="126"/>
        <item x="105"/>
        <item x="94"/>
        <item x="127"/>
        <item x="39"/>
        <item x="150"/>
        <item x="169"/>
        <item x="117"/>
        <item x="16"/>
        <item x="140"/>
        <item x="139"/>
        <item x="109"/>
        <item x="166"/>
        <item x="152"/>
        <item x="149"/>
        <item x="148"/>
        <item x="9"/>
        <item x="15"/>
        <item x="14"/>
        <item x="46"/>
        <item x="2"/>
        <item x="118"/>
        <item x="157"/>
        <item x="134"/>
        <item x="108"/>
        <item x="23"/>
        <item x="131"/>
        <item x="164"/>
        <item x="154"/>
        <item x="114"/>
        <item x="155"/>
        <item x="8"/>
        <item x="132"/>
        <item x="165"/>
        <item x="106"/>
        <item x="162"/>
        <item x="110"/>
        <item x="3"/>
        <item x="133"/>
        <item x="163"/>
        <item x="151"/>
        <item x="159"/>
        <item x="153"/>
        <item x="161"/>
        <item x="167"/>
        <item x="17"/>
        <item x="125"/>
        <item x="0"/>
        <item t="default"/>
      </items>
    </pivotField>
    <pivotField compact="0" showAll="0">
      <items count="21">
        <item x="4"/>
        <item x="14"/>
        <item x="2"/>
        <item x="18"/>
        <item x="5"/>
        <item x="15"/>
        <item x="9"/>
        <item x="17"/>
        <item x="16"/>
        <item x="1"/>
        <item x="10"/>
        <item x="13"/>
        <item x="3"/>
        <item x="7"/>
        <item x="6"/>
        <item x="19"/>
        <item x="12"/>
        <item x="8"/>
        <item x="11"/>
        <item x="0"/>
        <item t="default"/>
      </items>
    </pivotField>
    <pivotField compact="0" showAll="0">
      <items count="164">
        <item x="132"/>
        <item x="126"/>
        <item x="55"/>
        <item x="131"/>
        <item x="127"/>
        <item x="48"/>
        <item x="40"/>
        <item x="58"/>
        <item x="125"/>
        <item x="24"/>
        <item x="50"/>
        <item x="56"/>
        <item x="121"/>
        <item x="41"/>
        <item x="154"/>
        <item x="139"/>
        <item x="42"/>
        <item x="150"/>
        <item x="59"/>
        <item x="65"/>
        <item x="57"/>
        <item x="51"/>
        <item x="111"/>
        <item x="2"/>
        <item x="47"/>
        <item x="54"/>
        <item x="64"/>
        <item x="11"/>
        <item x="25"/>
        <item x="19"/>
        <item x="115"/>
        <item x="110"/>
        <item x="79"/>
        <item x="53"/>
        <item x="5"/>
        <item x="23"/>
        <item x="20"/>
        <item x="62"/>
        <item x="114"/>
        <item x="29"/>
        <item x="63"/>
        <item x="39"/>
        <item x="9"/>
        <item x="49"/>
        <item x="10"/>
        <item x="72"/>
        <item x="52"/>
        <item x="151"/>
        <item x="116"/>
        <item x="36"/>
        <item x="26"/>
        <item x="34"/>
        <item x="45"/>
        <item x="85"/>
        <item x="148"/>
        <item x="22"/>
        <item x="17"/>
        <item x="152"/>
        <item x="27"/>
        <item x="159"/>
        <item x="38"/>
        <item x="61"/>
        <item x="68"/>
        <item x="153"/>
        <item x="60"/>
        <item x="158"/>
        <item x="37"/>
        <item x="162"/>
        <item x="113"/>
        <item x="12"/>
        <item x="145"/>
        <item x="122"/>
        <item x="71"/>
        <item x="1"/>
        <item x="13"/>
        <item x="28"/>
        <item x="100"/>
        <item x="15"/>
        <item x="80"/>
        <item x="33"/>
        <item x="103"/>
        <item x="130"/>
        <item x="133"/>
        <item x="97"/>
        <item x="112"/>
        <item x="77"/>
        <item x="149"/>
        <item x="129"/>
        <item x="88"/>
        <item x="3"/>
        <item x="46"/>
        <item x="31"/>
        <item x="67"/>
        <item x="91"/>
        <item x="32"/>
        <item x="105"/>
        <item x="66"/>
        <item x="78"/>
        <item x="106"/>
        <item x="101"/>
        <item x="81"/>
        <item x="30"/>
        <item x="74"/>
        <item x="98"/>
        <item x="35"/>
        <item x="16"/>
        <item x="107"/>
        <item x="99"/>
        <item x="160"/>
        <item x="73"/>
        <item x="102"/>
        <item x="87"/>
        <item x="76"/>
        <item x="137"/>
        <item x="18"/>
        <item x="7"/>
        <item x="82"/>
        <item x="120"/>
        <item x="21"/>
        <item x="123"/>
        <item x="108"/>
        <item x="140"/>
        <item x="157"/>
        <item x="83"/>
        <item x="90"/>
        <item x="70"/>
        <item x="141"/>
        <item x="96"/>
        <item x="75"/>
        <item x="14"/>
        <item x="44"/>
        <item x="104"/>
        <item x="138"/>
        <item x="109"/>
        <item x="118"/>
        <item x="161"/>
        <item x="124"/>
        <item x="89"/>
        <item x="95"/>
        <item x="146"/>
        <item x="155"/>
        <item x="117"/>
        <item x="43"/>
        <item x="4"/>
        <item x="8"/>
        <item x="134"/>
        <item x="69"/>
        <item x="119"/>
        <item x="128"/>
        <item x="86"/>
        <item x="136"/>
        <item x="84"/>
        <item x="156"/>
        <item x="93"/>
        <item x="6"/>
        <item x="94"/>
        <item x="144"/>
        <item x="143"/>
        <item x="147"/>
        <item x="135"/>
        <item x="92"/>
        <item x="142"/>
        <item x="0"/>
        <item t="default"/>
      </items>
    </pivotField>
    <pivotField compact="0" showAll="0">
      <items count="20">
        <item x="15"/>
        <item x="9"/>
        <item x="14"/>
        <item x="7"/>
        <item x="12"/>
        <item x="5"/>
        <item x="6"/>
        <item x="8"/>
        <item x="10"/>
        <item x="1"/>
        <item x="13"/>
        <item x="3"/>
        <item x="11"/>
        <item x="4"/>
        <item x="2"/>
        <item x="17"/>
        <item x="18"/>
        <item x="16"/>
        <item x="0"/>
        <item t="default"/>
      </items>
    </pivotField>
    <pivotField compact="0" showAll="0">
      <items count="21">
        <item x="16"/>
        <item x="9"/>
        <item x="14"/>
        <item x="15"/>
        <item x="7"/>
        <item x="13"/>
        <item x="5"/>
        <item x="6"/>
        <item x="8"/>
        <item x="11"/>
        <item x="10"/>
        <item x="12"/>
        <item x="3"/>
        <item x="4"/>
        <item x="2"/>
        <item x="18"/>
        <item x="1"/>
        <item x="17"/>
        <item x="19"/>
        <item x="0"/>
        <item t="default"/>
      </items>
    </pivotField>
    <pivotField dataField="1" compact="0" showAll="0">
      <items count="247">
        <item x="15"/>
        <item x="179"/>
        <item x="191"/>
        <item x="205"/>
        <item x="215"/>
        <item x="180"/>
        <item x="213"/>
        <item x="181"/>
        <item x="195"/>
        <item x="202"/>
        <item x="210"/>
        <item x="214"/>
        <item x="212"/>
        <item x="201"/>
        <item x="177"/>
        <item x="211"/>
        <item x="190"/>
        <item x="178"/>
        <item x="150"/>
        <item x="90"/>
        <item x="149"/>
        <item x="165"/>
        <item x="123"/>
        <item x="136"/>
        <item x="91"/>
        <item x="110"/>
        <item x="92"/>
        <item x="120"/>
        <item x="122"/>
        <item x="111"/>
        <item x="96"/>
        <item x="132"/>
        <item x="95"/>
        <item x="88"/>
        <item x="147"/>
        <item x="194"/>
        <item x="126"/>
        <item x="148"/>
        <item x="127"/>
        <item x="89"/>
        <item x="128"/>
        <item x="121"/>
        <item x="135"/>
        <item x="192"/>
        <item x="166"/>
        <item x="124"/>
        <item x="137"/>
        <item x="167"/>
        <item x="112"/>
        <item x="133"/>
        <item x="97"/>
        <item x="98"/>
        <item x="129"/>
        <item x="130"/>
        <item x="145"/>
        <item x="99"/>
        <item x="93"/>
        <item x="131"/>
        <item x="146"/>
        <item x="125"/>
        <item x="138"/>
        <item x="113"/>
        <item x="115"/>
        <item x="134"/>
        <item x="139"/>
        <item x="140"/>
        <item x="144"/>
        <item x="141"/>
        <item x="100"/>
        <item x="142"/>
        <item x="143"/>
        <item x="233"/>
        <item x="101"/>
        <item x="102"/>
        <item x="182"/>
        <item x="206"/>
        <item x="207"/>
        <item x="200"/>
        <item x="209"/>
        <item x="208"/>
        <item x="103"/>
        <item x="193"/>
        <item x="186"/>
        <item x="118"/>
        <item x="104"/>
        <item x="94"/>
        <item x="105"/>
        <item x="106"/>
        <item x="155"/>
        <item x="114"/>
        <item x="62"/>
        <item x="188"/>
        <item x="154"/>
        <item x="117"/>
        <item x="107"/>
        <item x="224"/>
        <item x="30"/>
        <item x="221"/>
        <item x="156"/>
        <item x="189"/>
        <item x="227"/>
        <item x="116"/>
        <item x="198"/>
        <item x="108"/>
        <item x="68"/>
        <item x="164"/>
        <item x="157"/>
        <item x="119"/>
        <item x="197"/>
        <item x="60"/>
        <item x="109"/>
        <item x="185"/>
        <item x="29"/>
        <item x="7"/>
        <item x="196"/>
        <item x="8"/>
        <item x="173"/>
        <item x="67"/>
        <item x="158"/>
        <item x="13"/>
        <item x="236"/>
        <item x="159"/>
        <item x="228"/>
        <item x="58"/>
        <item x="6"/>
        <item x="66"/>
        <item x="38"/>
        <item x="5"/>
        <item x="218"/>
        <item x="56"/>
        <item x="14"/>
        <item x="223"/>
        <item x="4"/>
        <item x="172"/>
        <item x="59"/>
        <item x="47"/>
        <item x="234"/>
        <item x="57"/>
        <item x="174"/>
        <item x="40"/>
        <item x="37"/>
        <item x="239"/>
        <item x="220"/>
        <item x="161"/>
        <item x="171"/>
        <item x="10"/>
        <item x="225"/>
        <item x="65"/>
        <item x="85"/>
        <item x="36"/>
        <item x="12"/>
        <item x="162"/>
        <item x="72"/>
        <item x="199"/>
        <item x="48"/>
        <item x="78"/>
        <item x="160"/>
        <item x="11"/>
        <item x="73"/>
        <item x="24"/>
        <item x="222"/>
        <item x="176"/>
        <item x="229"/>
        <item x="44"/>
        <item x="61"/>
        <item x="84"/>
        <item x="87"/>
        <item x="74"/>
        <item x="16"/>
        <item x="1"/>
        <item x="226"/>
        <item x="32"/>
        <item x="39"/>
        <item x="71"/>
        <item x="21"/>
        <item x="34"/>
        <item x="33"/>
        <item x="217"/>
        <item x="31"/>
        <item x="175"/>
        <item x="240"/>
        <item x="83"/>
        <item x="41"/>
        <item x="238"/>
        <item x="9"/>
        <item x="42"/>
        <item x="77"/>
        <item x="52"/>
        <item x="17"/>
        <item x="170"/>
        <item x="168"/>
        <item x="53"/>
        <item x="43"/>
        <item x="237"/>
        <item x="241"/>
        <item x="20"/>
        <item x="54"/>
        <item x="28"/>
        <item x="25"/>
        <item x="80"/>
        <item x="86"/>
        <item x="26"/>
        <item x="27"/>
        <item x="76"/>
        <item x="45"/>
        <item x="75"/>
        <item x="79"/>
        <item x="19"/>
        <item x="46"/>
        <item x="2"/>
        <item x="235"/>
        <item x="203"/>
        <item x="231"/>
        <item x="3"/>
        <item x="51"/>
        <item x="23"/>
        <item x="152"/>
        <item x="18"/>
        <item x="35"/>
        <item x="187"/>
        <item x="22"/>
        <item x="69"/>
        <item x="243"/>
        <item x="184"/>
        <item x="183"/>
        <item x="63"/>
        <item x="82"/>
        <item x="70"/>
        <item x="153"/>
        <item x="244"/>
        <item x="151"/>
        <item x="232"/>
        <item x="204"/>
        <item x="163"/>
        <item x="169"/>
        <item x="49"/>
        <item x="219"/>
        <item x="81"/>
        <item x="230"/>
        <item x="216"/>
        <item x="64"/>
        <item x="245"/>
        <item x="55"/>
        <item x="50"/>
        <item x="242"/>
        <item x="0"/>
        <item t="default"/>
      </items>
    </pivotField>
    <pivotField dataField="1" compact="0" showAll="0">
      <items count="61">
        <item x="15"/>
        <item x="43"/>
        <item x="53"/>
        <item x="44"/>
        <item x="23"/>
        <item x="56"/>
        <item x="54"/>
        <item x="22"/>
        <item x="13"/>
        <item x="7"/>
        <item x="52"/>
        <item x="14"/>
        <item x="45"/>
        <item x="46"/>
        <item x="8"/>
        <item x="6"/>
        <item x="57"/>
        <item x="5"/>
        <item x="28"/>
        <item x="4"/>
        <item x="58"/>
        <item x="48"/>
        <item x="30"/>
        <item x="26"/>
        <item x="27"/>
        <item x="49"/>
        <item x="10"/>
        <item x="12"/>
        <item x="37"/>
        <item x="55"/>
        <item x="1"/>
        <item x="29"/>
        <item x="47"/>
        <item x="24"/>
        <item x="11"/>
        <item x="38"/>
        <item x="9"/>
        <item x="16"/>
        <item x="36"/>
        <item x="21"/>
        <item x="50"/>
        <item x="19"/>
        <item x="18"/>
        <item x="40"/>
        <item x="59"/>
        <item x="39"/>
        <item x="2"/>
        <item x="3"/>
        <item x="34"/>
        <item x="17"/>
        <item x="25"/>
        <item x="41"/>
        <item x="32"/>
        <item x="20"/>
        <item x="35"/>
        <item x="42"/>
        <item x="51"/>
        <item x="33"/>
        <item x="31"/>
        <item x="0"/>
        <item t="default"/>
      </items>
    </pivotField>
    <pivotField dataField="1" compact="0" showAll="0">
      <items count="67">
        <item x="12"/>
        <item x="58"/>
        <item x="45"/>
        <item x="46"/>
        <item x="47"/>
        <item x="48"/>
        <item x="49"/>
        <item x="5"/>
        <item x="50"/>
        <item x="51"/>
        <item x="39"/>
        <item x="56"/>
        <item x="10"/>
        <item x="4"/>
        <item x="11"/>
        <item x="7"/>
        <item x="57"/>
        <item x="24"/>
        <item x="9"/>
        <item x="43"/>
        <item x="44"/>
        <item x="38"/>
        <item x="30"/>
        <item x="8"/>
        <item x="18"/>
        <item x="23"/>
        <item x="37"/>
        <item x="42"/>
        <item x="36"/>
        <item x="1"/>
        <item x="41"/>
        <item x="16"/>
        <item x="15"/>
        <item x="21"/>
        <item x="13"/>
        <item x="27"/>
        <item x="6"/>
        <item x="20"/>
        <item x="59"/>
        <item x="19"/>
        <item x="25"/>
        <item x="2"/>
        <item x="61"/>
        <item x="26"/>
        <item x="34"/>
        <item x="55"/>
        <item x="17"/>
        <item x="14"/>
        <item x="62"/>
        <item x="54"/>
        <item x="28"/>
        <item x="3"/>
        <item x="22"/>
        <item x="40"/>
        <item x="29"/>
        <item x="63"/>
        <item x="35"/>
        <item x="52"/>
        <item x="33"/>
        <item x="64"/>
        <item x="60"/>
        <item x="53"/>
        <item x="31"/>
        <item x="65"/>
        <item x="32"/>
        <item x="0"/>
        <item t="default"/>
      </items>
    </pivotField>
    <pivotField dataField="1" compact="0" showAll="0">
      <items count="340">
        <item x="16"/>
        <item x="259"/>
        <item x="222"/>
        <item x="78"/>
        <item x="218"/>
        <item x="81"/>
        <item x="240"/>
        <item x="217"/>
        <item x="136"/>
        <item x="238"/>
        <item x="243"/>
        <item x="269"/>
        <item x="268"/>
        <item x="172"/>
        <item x="138"/>
        <item x="91"/>
        <item x="89"/>
        <item x="119"/>
        <item x="82"/>
        <item x="145"/>
        <item x="256"/>
        <item x="237"/>
        <item x="80"/>
        <item x="90"/>
        <item x="258"/>
        <item x="123"/>
        <item x="194"/>
        <item x="213"/>
        <item x="303"/>
        <item x="221"/>
        <item x="128"/>
        <item x="236"/>
        <item x="126"/>
        <item x="79"/>
        <item x="54"/>
        <item x="69"/>
        <item x="53"/>
        <item x="239"/>
        <item x="84"/>
        <item x="137"/>
        <item x="247"/>
        <item x="231"/>
        <item x="255"/>
        <item x="127"/>
        <item x="234"/>
        <item x="135"/>
        <item x="168"/>
        <item x="165"/>
        <item x="246"/>
        <item x="52"/>
        <item x="214"/>
        <item x="85"/>
        <item x="179"/>
        <item x="245"/>
        <item x="62"/>
        <item x="182"/>
        <item x="65"/>
        <item x="175"/>
        <item x="105"/>
        <item x="334"/>
        <item x="115"/>
        <item x="122"/>
        <item x="169"/>
        <item x="254"/>
        <item x="133"/>
        <item x="158"/>
        <item x="100"/>
        <item x="252"/>
        <item x="230"/>
        <item x="186"/>
        <item x="241"/>
        <item x="130"/>
        <item x="225"/>
        <item x="229"/>
        <item x="216"/>
        <item x="74"/>
        <item x="142"/>
        <item x="257"/>
        <item x="149"/>
        <item x="176"/>
        <item x="118"/>
        <item x="196"/>
        <item x="235"/>
        <item x="129"/>
        <item x="134"/>
        <item x="215"/>
        <item x="197"/>
        <item x="170"/>
        <item x="330"/>
        <item x="173"/>
        <item x="111"/>
        <item x="174"/>
        <item x="178"/>
        <item x="61"/>
        <item x="139"/>
        <item x="276"/>
        <item x="274"/>
        <item x="166"/>
        <item x="248"/>
        <item x="232"/>
        <item x="159"/>
        <item x="315"/>
        <item x="171"/>
        <item x="180"/>
        <item x="332"/>
        <item x="6"/>
        <item x="212"/>
        <item x="167"/>
        <item x="64"/>
        <item x="183"/>
        <item x="103"/>
        <item x="120"/>
        <item x="193"/>
        <item x="148"/>
        <item x="73"/>
        <item x="223"/>
        <item x="270"/>
        <item x="154"/>
        <item x="271"/>
        <item x="132"/>
        <item x="181"/>
        <item x="184"/>
        <item x="185"/>
        <item x="117"/>
        <item x="195"/>
        <item x="147"/>
        <item x="192"/>
        <item x="307"/>
        <item x="157"/>
        <item x="125"/>
        <item x="227"/>
        <item x="206"/>
        <item x="30"/>
        <item x="191"/>
        <item x="63"/>
        <item x="304"/>
        <item x="314"/>
        <item x="108"/>
        <item x="331"/>
        <item x="113"/>
        <item x="219"/>
        <item x="156"/>
        <item x="164"/>
        <item x="131"/>
        <item x="153"/>
        <item x="140"/>
        <item x="275"/>
        <item x="210"/>
        <item x="318"/>
        <item x="68"/>
        <item x="152"/>
        <item x="297"/>
        <item x="187"/>
        <item x="83"/>
        <item x="204"/>
        <item x="37"/>
        <item x="305"/>
        <item x="226"/>
        <item x="224"/>
        <item x="264"/>
        <item x="51"/>
        <item x="250"/>
        <item x="249"/>
        <item x="12"/>
        <item x="211"/>
        <item x="102"/>
        <item x="286"/>
        <item x="262"/>
        <item x="163"/>
        <item x="295"/>
        <item x="177"/>
        <item x="66"/>
        <item x="306"/>
        <item x="101"/>
        <item x="198"/>
        <item x="29"/>
        <item x="141"/>
        <item x="38"/>
        <item x="116"/>
        <item x="106"/>
        <item x="253"/>
        <item x="87"/>
        <item x="336"/>
        <item x="220"/>
        <item x="14"/>
        <item x="265"/>
        <item x="151"/>
        <item x="11"/>
        <item x="67"/>
        <item x="124"/>
        <item x="207"/>
        <item x="298"/>
        <item x="150"/>
        <item x="60"/>
        <item x="267"/>
        <item x="50"/>
        <item x="95"/>
        <item x="310"/>
        <item x="263"/>
        <item x="202"/>
        <item x="290"/>
        <item x="205"/>
        <item x="311"/>
        <item x="155"/>
        <item x="242"/>
        <item x="272"/>
        <item x="200"/>
        <item x="228"/>
        <item x="146"/>
        <item x="320"/>
        <item x="72"/>
        <item x="27"/>
        <item x="36"/>
        <item x="322"/>
        <item x="302"/>
        <item x="143"/>
        <item x="326"/>
        <item x="337"/>
        <item x="251"/>
        <item x="319"/>
        <item x="98"/>
        <item x="75"/>
        <item x="273"/>
        <item x="8"/>
        <item x="114"/>
        <item x="161"/>
        <item x="43"/>
        <item x="327"/>
        <item x="261"/>
        <item x="308"/>
        <item x="13"/>
        <item x="97"/>
        <item x="107"/>
        <item x="92"/>
        <item x="316"/>
        <item x="233"/>
        <item x="309"/>
        <item x="88"/>
        <item x="292"/>
        <item x="112"/>
        <item x="244"/>
        <item x="325"/>
        <item x="162"/>
        <item x="160"/>
        <item x="49"/>
        <item x="10"/>
        <item x="313"/>
        <item x="199"/>
        <item x="338"/>
        <item x="300"/>
        <item x="99"/>
        <item x="58"/>
        <item x="45"/>
        <item x="299"/>
        <item x="42"/>
        <item x="266"/>
        <item x="3"/>
        <item x="335"/>
        <item x="208"/>
        <item x="301"/>
        <item x="277"/>
        <item x="203"/>
        <item x="70"/>
        <item x="282"/>
        <item x="71"/>
        <item x="333"/>
        <item x="96"/>
        <item x="279"/>
        <item x="281"/>
        <item x="94"/>
        <item x="321"/>
        <item x="35"/>
        <item x="324"/>
        <item x="189"/>
        <item x="23"/>
        <item x="31"/>
        <item x="40"/>
        <item x="291"/>
        <item x="312"/>
        <item x="190"/>
        <item x="15"/>
        <item x="288"/>
        <item x="283"/>
        <item x="328"/>
        <item x="209"/>
        <item x="2"/>
        <item x="86"/>
        <item x="76"/>
        <item x="9"/>
        <item x="293"/>
        <item x="17"/>
        <item x="28"/>
        <item x="323"/>
        <item x="144"/>
        <item x="41"/>
        <item x="77"/>
        <item x="21"/>
        <item x="22"/>
        <item x="317"/>
        <item x="32"/>
        <item x="329"/>
        <item x="201"/>
        <item x="284"/>
        <item x="280"/>
        <item x="294"/>
        <item x="121"/>
        <item x="33"/>
        <item x="55"/>
        <item x="296"/>
        <item x="26"/>
        <item x="285"/>
        <item x="5"/>
        <item x="188"/>
        <item x="260"/>
        <item x="93"/>
        <item x="39"/>
        <item x="57"/>
        <item x="44"/>
        <item x="25"/>
        <item x="19"/>
        <item x="47"/>
        <item x="7"/>
        <item x="34"/>
        <item x="59"/>
        <item x="46"/>
        <item x="287"/>
        <item x="24"/>
        <item x="18"/>
        <item x="48"/>
        <item x="56"/>
        <item x="109"/>
        <item x="104"/>
        <item x="110"/>
        <item x="278"/>
        <item x="4"/>
        <item x="289"/>
        <item x="20"/>
        <item x="0"/>
        <item x="1"/>
        <item t="default"/>
      </items>
    </pivotField>
    <pivotField compact="0" showAll="0">
      <items count="116">
        <item x="16"/>
        <item x="98"/>
        <item x="99"/>
        <item x="97"/>
        <item x="106"/>
        <item x="83"/>
        <item x="80"/>
        <item x="95"/>
        <item x="52"/>
        <item x="53"/>
        <item x="70"/>
        <item x="105"/>
        <item x="94"/>
        <item x="85"/>
        <item x="86"/>
        <item x="96"/>
        <item x="73"/>
        <item x="101"/>
        <item x="82"/>
        <item x="6"/>
        <item x="81"/>
        <item x="104"/>
        <item x="84"/>
        <item x="30"/>
        <item x="114"/>
        <item x="103"/>
        <item x="14"/>
        <item x="37"/>
        <item x="102"/>
        <item x="51"/>
        <item x="50"/>
        <item x="36"/>
        <item x="12"/>
        <item x="29"/>
        <item x="87"/>
        <item x="72"/>
        <item x="71"/>
        <item x="110"/>
        <item x="65"/>
        <item x="38"/>
        <item x="100"/>
        <item x="43"/>
        <item x="89"/>
        <item x="11"/>
        <item x="62"/>
        <item x="93"/>
        <item x="27"/>
        <item x="8"/>
        <item x="92"/>
        <item x="49"/>
        <item x="42"/>
        <item x="10"/>
        <item x="68"/>
        <item x="45"/>
        <item x="88"/>
        <item x="67"/>
        <item x="13"/>
        <item x="57"/>
        <item x="15"/>
        <item x="35"/>
        <item x="40"/>
        <item x="91"/>
        <item x="107"/>
        <item x="66"/>
        <item x="69"/>
        <item x="64"/>
        <item x="3"/>
        <item x="90"/>
        <item x="2"/>
        <item x="78"/>
        <item x="17"/>
        <item x="112"/>
        <item x="41"/>
        <item x="32"/>
        <item x="109"/>
        <item x="31"/>
        <item x="79"/>
        <item x="23"/>
        <item x="61"/>
        <item x="54"/>
        <item x="33"/>
        <item x="60"/>
        <item x="28"/>
        <item x="22"/>
        <item x="111"/>
        <item x="21"/>
        <item x="39"/>
        <item x="9"/>
        <item x="59"/>
        <item x="44"/>
        <item x="76"/>
        <item x="58"/>
        <item x="34"/>
        <item x="26"/>
        <item x="77"/>
        <item x="5"/>
        <item x="24"/>
        <item x="63"/>
        <item x="56"/>
        <item x="7"/>
        <item x="47"/>
        <item x="18"/>
        <item x="25"/>
        <item x="19"/>
        <item x="55"/>
        <item x="48"/>
        <item x="74"/>
        <item x="46"/>
        <item x="113"/>
        <item x="75"/>
        <item x="108"/>
        <item x="4"/>
        <item x="20"/>
        <item x="0"/>
        <item x="1"/>
        <item t="default"/>
      </items>
    </pivotField>
    <pivotField compact="0" showAll="0">
      <items count="235">
        <item x="16"/>
        <item x="191"/>
        <item x="189"/>
        <item x="78"/>
        <item x="163"/>
        <item x="54"/>
        <item x="118"/>
        <item x="120"/>
        <item x="147"/>
        <item x="75"/>
        <item x="53"/>
        <item x="183"/>
        <item x="85"/>
        <item x="83"/>
        <item x="127"/>
        <item x="79"/>
        <item x="106"/>
        <item x="77"/>
        <item x="84"/>
        <item x="180"/>
        <item x="111"/>
        <item x="174"/>
        <item x="188"/>
        <item x="109"/>
        <item x="179"/>
        <item x="6"/>
        <item x="52"/>
        <item x="76"/>
        <item x="119"/>
        <item x="178"/>
        <item x="110"/>
        <item x="165"/>
        <item x="67"/>
        <item x="145"/>
        <item x="30"/>
        <item x="142"/>
        <item x="185"/>
        <item x="151"/>
        <item x="94"/>
        <item x="154"/>
        <item x="215"/>
        <item x="164"/>
        <item x="148"/>
        <item x="105"/>
        <item x="38"/>
        <item x="135"/>
        <item x="116"/>
        <item x="81"/>
        <item x="51"/>
        <item x="61"/>
        <item x="162"/>
        <item x="11"/>
        <item x="71"/>
        <item x="113"/>
        <item x="124"/>
        <item x="176"/>
        <item x="131"/>
        <item x="216"/>
        <item x="12"/>
        <item x="209"/>
        <item x="190"/>
        <item x="117"/>
        <item x="29"/>
        <item x="112"/>
        <item x="121"/>
        <item x="103"/>
        <item x="150"/>
        <item x="143"/>
        <item x="182"/>
        <item x="217"/>
        <item x="136"/>
        <item x="152"/>
        <item x="146"/>
        <item x="60"/>
        <item x="155"/>
        <item x="144"/>
        <item x="223"/>
        <item x="220"/>
        <item x="130"/>
        <item x="115"/>
        <item x="153"/>
        <item x="63"/>
        <item x="156"/>
        <item x="57"/>
        <item x="129"/>
        <item x="37"/>
        <item x="134"/>
        <item x="70"/>
        <item x="108"/>
        <item x="171"/>
        <item x="102"/>
        <item x="161"/>
        <item x="14"/>
        <item x="204"/>
        <item x="66"/>
        <item x="122"/>
        <item x="141"/>
        <item x="72"/>
        <item x="114"/>
        <item x="50"/>
        <item x="62"/>
        <item x="175"/>
        <item x="92"/>
        <item x="89"/>
        <item x="233"/>
        <item x="157"/>
        <item x="170"/>
        <item x="214"/>
        <item x="91"/>
        <item x="64"/>
        <item x="232"/>
        <item x="140"/>
        <item x="177"/>
        <item x="27"/>
        <item x="167"/>
        <item x="149"/>
        <item x="13"/>
        <item x="123"/>
        <item x="93"/>
        <item x="193"/>
        <item x="101"/>
        <item x="65"/>
        <item x="132"/>
        <item x="187"/>
        <item x="107"/>
        <item x="228"/>
        <item x="133"/>
        <item x="3"/>
        <item x="86"/>
        <item x="59"/>
        <item x="36"/>
        <item x="43"/>
        <item x="23"/>
        <item x="82"/>
        <item x="8"/>
        <item x="73"/>
        <item x="128"/>
        <item x="69"/>
        <item x="218"/>
        <item x="222"/>
        <item x="45"/>
        <item x="125"/>
        <item x="42"/>
        <item x="225"/>
        <item x="219"/>
        <item x="186"/>
        <item x="229"/>
        <item x="196"/>
        <item x="31"/>
        <item x="200"/>
        <item x="172"/>
        <item x="166"/>
        <item x="202"/>
        <item x="49"/>
        <item x="9"/>
        <item x="10"/>
        <item x="195"/>
        <item x="138"/>
        <item x="35"/>
        <item x="40"/>
        <item x="15"/>
        <item x="184"/>
        <item x="90"/>
        <item x="100"/>
        <item x="230"/>
        <item x="88"/>
        <item x="159"/>
        <item x="96"/>
        <item x="221"/>
        <item x="181"/>
        <item x="139"/>
        <item x="201"/>
        <item x="99"/>
        <item x="206"/>
        <item x="160"/>
        <item x="137"/>
        <item x="2"/>
        <item x="104"/>
        <item x="17"/>
        <item x="199"/>
        <item x="41"/>
        <item x="80"/>
        <item x="212"/>
        <item x="28"/>
        <item x="26"/>
        <item x="194"/>
        <item x="32"/>
        <item x="21"/>
        <item x="211"/>
        <item x="5"/>
        <item x="169"/>
        <item x="210"/>
        <item x="74"/>
        <item x="213"/>
        <item x="22"/>
        <item x="68"/>
        <item x="33"/>
        <item x="56"/>
        <item x="39"/>
        <item x="224"/>
        <item x="198"/>
        <item x="25"/>
        <item x="19"/>
        <item x="227"/>
        <item x="87"/>
        <item x="205"/>
        <item x="173"/>
        <item x="126"/>
        <item x="158"/>
        <item x="231"/>
        <item x="44"/>
        <item x="46"/>
        <item x="55"/>
        <item x="7"/>
        <item x="207"/>
        <item x="168"/>
        <item x="226"/>
        <item x="34"/>
        <item x="47"/>
        <item x="24"/>
        <item x="208"/>
        <item x="18"/>
        <item x="192"/>
        <item x="48"/>
        <item x="97"/>
        <item x="197"/>
        <item x="58"/>
        <item x="95"/>
        <item x="4"/>
        <item x="98"/>
        <item x="20"/>
        <item x="203"/>
        <item x="0"/>
        <item x="1"/>
        <item t="default"/>
      </items>
    </pivotField>
    <pivotField compact="0" showAll="0">
      <items count="2">
        <item x="0"/>
        <item t="default"/>
      </items>
    </pivotField>
    <pivotField compact="0" showAll="0">
      <items count="56">
        <item x="44"/>
        <item x="49"/>
        <item x="8"/>
        <item x="45"/>
        <item x="41"/>
        <item x="19"/>
        <item x="42"/>
        <item x="11"/>
        <item x="3"/>
        <item x="2"/>
        <item x="13"/>
        <item x="33"/>
        <item x="12"/>
        <item x="15"/>
        <item x="43"/>
        <item x="27"/>
        <item x="37"/>
        <item x="29"/>
        <item x="30"/>
        <item x="54"/>
        <item x="39"/>
        <item x="6"/>
        <item x="20"/>
        <item x="16"/>
        <item x="50"/>
        <item x="35"/>
        <item x="34"/>
        <item x="1"/>
        <item x="18"/>
        <item x="10"/>
        <item x="21"/>
        <item x="9"/>
        <item x="14"/>
        <item x="48"/>
        <item x="38"/>
        <item x="23"/>
        <item x="47"/>
        <item x="28"/>
        <item x="22"/>
        <item x="36"/>
        <item x="25"/>
        <item x="26"/>
        <item x="40"/>
        <item x="53"/>
        <item x="24"/>
        <item x="51"/>
        <item x="4"/>
        <item x="52"/>
        <item x="17"/>
        <item x="7"/>
        <item x="5"/>
        <item x="31"/>
        <item x="32"/>
        <item x="46"/>
        <item x="0"/>
        <item t="default"/>
      </items>
    </pivotField>
  </pivotFields>
  <rowFields count="1">
    <field x="2"/>
  </rowFields>
  <rowItems count="298">
    <i>
      <x v="270"/>
    </i>
    <i>
      <x v="272"/>
    </i>
    <i>
      <x v="300"/>
    </i>
    <i>
      <x v="145"/>
    </i>
    <i>
      <x v="320"/>
    </i>
    <i>
      <x v="157"/>
    </i>
    <i>
      <x v="271"/>
    </i>
    <i>
      <x v="180"/>
    </i>
    <i>
      <x v="251"/>
    </i>
    <i>
      <x v="124"/>
    </i>
    <i>
      <x v="274"/>
    </i>
    <i>
      <x v="170"/>
    </i>
    <i>
      <x v="181"/>
    </i>
    <i>
      <x v="179"/>
    </i>
    <i>
      <x v="321"/>
    </i>
    <i>
      <x v="131"/>
    </i>
    <i>
      <x v="111"/>
    </i>
    <i>
      <x v="278"/>
    </i>
    <i>
      <x v="262"/>
    </i>
    <i>
      <x v="110"/>
    </i>
    <i>
      <x v="84"/>
    </i>
    <i>
      <x v="245"/>
    </i>
    <i>
      <x v="42"/>
    </i>
    <i>
      <x v="129"/>
    </i>
    <i>
      <x v="153"/>
    </i>
    <i>
      <x v="132"/>
    </i>
    <i>
      <x v="80"/>
    </i>
    <i>
      <x v="59"/>
    </i>
    <i>
      <x v="286"/>
    </i>
    <i>
      <x v="285"/>
    </i>
    <i>
      <x v="78"/>
    </i>
    <i>
      <x v="280"/>
    </i>
    <i>
      <x v="295"/>
    </i>
    <i>
      <x v="85"/>
    </i>
    <i>
      <x v="225"/>
    </i>
    <i>
      <x v="160"/>
    </i>
    <i>
      <x v="217"/>
    </i>
    <i>
      <x v="292"/>
    </i>
    <i>
      <x v="65"/>
    </i>
    <i>
      <x v="198"/>
    </i>
    <i>
      <x v="266"/>
    </i>
    <i>
      <x v="234"/>
    </i>
    <i>
      <x v="28"/>
    </i>
    <i>
      <x v="40"/>
    </i>
    <i>
      <x v="264"/>
    </i>
    <i>
      <x v="220"/>
    </i>
    <i>
      <x v="252"/>
    </i>
    <i>
      <x v="159"/>
    </i>
    <i>
      <x v="187"/>
    </i>
    <i>
      <x v="66"/>
    </i>
    <i>
      <x v="55"/>
    </i>
    <i>
      <x v="171"/>
    </i>
    <i>
      <x v="311"/>
    </i>
    <i>
      <x v="151"/>
    </i>
    <i>
      <x v="235"/>
    </i>
    <i>
      <x v="60"/>
    </i>
    <i>
      <x v="165"/>
    </i>
    <i>
      <x v="182"/>
    </i>
    <i>
      <x v="155"/>
    </i>
    <i>
      <x v="254"/>
    </i>
    <i>
      <x v="183"/>
    </i>
    <i>
      <x v="103"/>
    </i>
    <i>
      <x v="33"/>
    </i>
    <i>
      <x v="184"/>
    </i>
    <i>
      <x v="4"/>
    </i>
    <i>
      <x v="96"/>
    </i>
    <i>
      <x v="3"/>
    </i>
    <i>
      <x/>
    </i>
    <i>
      <x v="86"/>
    </i>
    <i>
      <x v="88"/>
    </i>
    <i>
      <x v="265"/>
    </i>
    <i>
      <x v="255"/>
    </i>
    <i>
      <x v="90"/>
    </i>
    <i>
      <x v="107"/>
    </i>
    <i>
      <x v="109"/>
    </i>
    <i>
      <x v="118"/>
    </i>
    <i>
      <x v="76"/>
    </i>
    <i>
      <x v="46"/>
    </i>
    <i>
      <x v="261"/>
    </i>
    <i>
      <x v="35"/>
    </i>
    <i>
      <x v="37"/>
    </i>
    <i>
      <x v="214"/>
    </i>
    <i>
      <x v="73"/>
    </i>
    <i>
      <x v="122"/>
    </i>
    <i>
      <x v="279"/>
    </i>
    <i>
      <x v="53"/>
    </i>
    <i>
      <x v="67"/>
    </i>
    <i>
      <x v="205"/>
    </i>
    <i>
      <x v="212"/>
    </i>
    <i>
      <x v="202"/>
    </i>
    <i>
      <x v="83"/>
    </i>
    <i>
      <x v="167"/>
    </i>
    <i>
      <x v="50"/>
    </i>
    <i>
      <x v="287"/>
    </i>
    <i>
      <x v="44"/>
    </i>
    <i>
      <x v="273"/>
    </i>
    <i>
      <x v="201"/>
    </i>
    <i>
      <x v="115"/>
    </i>
    <i>
      <x v="75"/>
    </i>
    <i>
      <x v="36"/>
    </i>
    <i>
      <x v="74"/>
    </i>
    <i>
      <x v="93"/>
    </i>
    <i>
      <x v="71"/>
    </i>
    <i>
      <x v="64"/>
    </i>
    <i>
      <x v="222"/>
    </i>
    <i>
      <x v="120"/>
    </i>
    <i>
      <x v="8"/>
    </i>
    <i>
      <x v="62"/>
    </i>
    <i>
      <x v="197"/>
    </i>
    <i>
      <x v="218"/>
    </i>
    <i>
      <x v="174"/>
    </i>
    <i>
      <x v="51"/>
    </i>
    <i>
      <x v="203"/>
    </i>
    <i>
      <x v="57"/>
    </i>
    <i>
      <x v="100"/>
    </i>
    <i>
      <x v="185"/>
    </i>
    <i>
      <x v="94"/>
    </i>
    <i>
      <x v="144"/>
    </i>
    <i>
      <x v="231"/>
    </i>
    <i>
      <x v="190"/>
    </i>
    <i>
      <x v="91"/>
    </i>
    <i>
      <x v="81"/>
    </i>
    <i>
      <x v="32"/>
    </i>
    <i>
      <x v="1"/>
    </i>
    <i>
      <x v="47"/>
    </i>
    <i>
      <x v="113"/>
    </i>
    <i>
      <x v="316"/>
    </i>
    <i>
      <x v="221"/>
    </i>
    <i>
      <x v="13"/>
    </i>
    <i>
      <x v="241"/>
    </i>
    <i>
      <x v="119"/>
    </i>
    <i>
      <x v="39"/>
    </i>
    <i>
      <x v="318"/>
    </i>
    <i>
      <x v="24"/>
    </i>
    <i>
      <x v="199"/>
    </i>
    <i>
      <x v="114"/>
    </i>
    <i>
      <x v="309"/>
    </i>
    <i>
      <x v="152"/>
    </i>
    <i>
      <x v="54"/>
    </i>
    <i>
      <x v="30"/>
    </i>
    <i>
      <x v="82"/>
    </i>
    <i>
      <x v="79"/>
    </i>
    <i>
      <x v="56"/>
    </i>
    <i>
      <x v="135"/>
    </i>
    <i>
      <x v="248"/>
    </i>
    <i>
      <x v="16"/>
    </i>
    <i>
      <x v="126"/>
    </i>
    <i>
      <x v="158"/>
    </i>
    <i>
      <x v="216"/>
    </i>
    <i>
      <x v="232"/>
    </i>
    <i>
      <x v="102"/>
    </i>
    <i>
      <x v="173"/>
    </i>
    <i>
      <x v="104"/>
    </i>
    <i>
      <x v="15"/>
    </i>
    <i>
      <x v="52"/>
    </i>
    <i>
      <x v="127"/>
    </i>
    <i>
      <x v="293"/>
    </i>
    <i>
      <x v="260"/>
    </i>
    <i>
      <x v="87"/>
    </i>
    <i>
      <x v="77"/>
    </i>
    <i>
      <x v="63"/>
    </i>
    <i>
      <x v="2"/>
    </i>
    <i>
      <x v="226"/>
    </i>
    <i>
      <x v="136"/>
    </i>
    <i>
      <x v="253"/>
    </i>
    <i>
      <x v="43"/>
    </i>
    <i>
      <x v="38"/>
    </i>
    <i>
      <x v="169"/>
    </i>
    <i>
      <x v="18"/>
    </i>
    <i>
      <x v="17"/>
    </i>
    <i>
      <x v="130"/>
    </i>
    <i>
      <x v="68"/>
    </i>
    <i>
      <x v="31"/>
    </i>
    <i>
      <x v="92"/>
    </i>
    <i>
      <x v="206"/>
    </i>
    <i>
      <x v="29"/>
    </i>
    <i>
      <x v="22"/>
    </i>
    <i>
      <x v="233"/>
    </i>
    <i>
      <x v="19"/>
    </i>
    <i>
      <x v="14"/>
    </i>
    <i>
      <x v="89"/>
    </i>
    <i>
      <x v="134"/>
    </i>
    <i>
      <x v="178"/>
    </i>
    <i>
      <x v="5"/>
    </i>
    <i>
      <x v="139"/>
    </i>
    <i>
      <x v="21"/>
    </i>
    <i>
      <x v="310"/>
    </i>
    <i>
      <x v="147"/>
    </i>
    <i>
      <x v="291"/>
    </i>
    <i>
      <x v="240"/>
    </i>
    <i>
      <x v="209"/>
    </i>
    <i>
      <x v="156"/>
    </i>
    <i>
      <x v="301"/>
    </i>
    <i>
      <x v="58"/>
    </i>
    <i>
      <x v="72"/>
    </i>
    <i>
      <x v="69"/>
    </i>
    <i>
      <x v="154"/>
    </i>
    <i>
      <x v="303"/>
    </i>
    <i>
      <x v="257"/>
    </i>
    <i>
      <x v="243"/>
    </i>
    <i>
      <x v="227"/>
    </i>
    <i>
      <x v="194"/>
    </i>
    <i>
      <x v="193"/>
    </i>
    <i>
      <x v="192"/>
    </i>
    <i>
      <x v="191"/>
    </i>
    <i>
      <x v="143"/>
    </i>
    <i>
      <x v="142"/>
    </i>
    <i>
      <x v="116"/>
    </i>
    <i>
      <x v="101"/>
    </i>
    <i>
      <x v="97"/>
    </i>
    <i>
      <x v="282"/>
    </i>
    <i>
      <x v="223"/>
    </i>
    <i>
      <x v="61"/>
    </i>
    <i>
      <x v="34"/>
    </i>
    <i>
      <x v="289"/>
    </i>
    <i>
      <x v="230"/>
    </i>
    <i>
      <x v="224"/>
    </i>
    <i>
      <x v="45"/>
    </i>
    <i>
      <x v="306"/>
    </i>
    <i>
      <x v="299"/>
    </i>
    <i>
      <x v="12"/>
    </i>
    <i>
      <x v="9"/>
    </i>
    <i>
      <x v="290"/>
    </i>
    <i>
      <x v="20"/>
    </i>
    <i>
      <x v="275"/>
    </i>
    <i>
      <x v="106"/>
    </i>
    <i>
      <x v="312"/>
    </i>
    <i>
      <x v="27"/>
    </i>
    <i>
      <x v="244"/>
    </i>
    <i>
      <x v="140"/>
    </i>
    <i>
      <x v="95"/>
    </i>
    <i>
      <x v="277"/>
    </i>
    <i>
      <x v="249"/>
    </i>
    <i>
      <x v="302"/>
    </i>
    <i>
      <x v="256"/>
    </i>
    <i>
      <x v="208"/>
    </i>
    <i>
      <x v="207"/>
    </i>
    <i>
      <x v="163"/>
    </i>
    <i>
      <x v="162"/>
    </i>
    <i>
      <x v="161"/>
    </i>
    <i>
      <x v="99"/>
    </i>
    <i>
      <x v="98"/>
    </i>
    <i>
      <x v="267"/>
    </i>
    <i>
      <x v="189"/>
    </i>
    <i>
      <x v="175"/>
    </i>
    <i>
      <x v="315"/>
    </i>
    <i>
      <x v="213"/>
    </i>
    <i>
      <x v="105"/>
    </i>
    <i>
      <x v="297"/>
    </i>
    <i>
      <x v="7"/>
    </i>
    <i>
      <x v="319"/>
    </i>
    <i>
      <x v="148"/>
    </i>
    <i>
      <x v="133"/>
    </i>
    <i>
      <x v="219"/>
    </i>
    <i>
      <x v="308"/>
    </i>
    <i>
      <x v="247"/>
    </i>
    <i>
      <x v="23"/>
    </i>
    <i>
      <x v="11"/>
    </i>
    <i>
      <x v="196"/>
    </i>
    <i>
      <x v="10"/>
    </i>
    <i>
      <x v="166"/>
    </i>
    <i>
      <x v="307"/>
    </i>
    <i>
      <x v="305"/>
    </i>
    <i>
      <x v="304"/>
    </i>
    <i>
      <x v="296"/>
    </i>
    <i>
      <x v="283"/>
    </i>
    <i>
      <x v="281"/>
    </i>
    <i>
      <x v="258"/>
    </i>
    <i>
      <x v="250"/>
    </i>
    <i>
      <x v="236"/>
    </i>
    <i>
      <x v="149"/>
    </i>
    <i>
      <x v="138"/>
    </i>
    <i>
      <x v="26"/>
    </i>
    <i>
      <x v="25"/>
    </i>
    <i>
      <x v="70"/>
    </i>
    <i>
      <x v="238"/>
    </i>
    <i>
      <x v="229"/>
    </i>
    <i>
      <x v="200"/>
    </i>
    <i>
      <x v="294"/>
    </i>
    <i>
      <x v="246"/>
    </i>
    <i>
      <x v="150"/>
    </i>
    <i>
      <x v="117"/>
    </i>
    <i>
      <x v="6"/>
    </i>
    <i>
      <x v="211"/>
    </i>
    <i>
      <x v="215"/>
    </i>
    <i>
      <x v="195"/>
    </i>
    <i>
      <x v="141"/>
    </i>
    <i>
      <x v="276"/>
    </i>
    <i>
      <x v="176"/>
    </i>
    <i>
      <x v="177"/>
    </i>
    <i>
      <x v="210"/>
    </i>
    <i>
      <x v="112"/>
    </i>
    <i>
      <x v="128"/>
    </i>
    <i>
      <x v="48"/>
    </i>
    <i>
      <x v="317"/>
    </i>
    <i>
      <x v="204"/>
    </i>
    <i>
      <x v="24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/>
  </pageFields>
  <dataFields count="4">
    <dataField name="求和项:总计" fld="11" baseField="0" baseItem="0"/>
    <dataField name="平均值项:综合单价" fld="8" subtotal="average" baseField="0" baseItem="0"/>
    <dataField name="求和项:主材单价" fld="9" baseField="0" baseItem="0"/>
    <dataField name="求和项:人工费" fld="10" baseField="0" baseItem="0"/>
  </dataFields>
  <formats count="3">
    <format dxfId="0">
      <pivotArea dataOnly="0" labelOnly="1" outline="0" fieldPosition="0">
        <references count="1">
          <reference field="1" count="0"/>
        </references>
      </pivotArea>
    </format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表1" displayName="表1" ref="A1:P445" totalsRowShown="0">
  <tableColumns count="16">
    <tableColumn id="1" name="流水号" dataDxfId="3"/>
    <tableColumn id="2" name="序号" dataDxfId="4"/>
    <tableColumn id="3" name="工程或费用名称"/>
    <tableColumn id="4" name="规格型号" dataDxfId="5"/>
    <tableColumn id="5" name="单位"/>
    <tableColumn id="6" name="数 量"/>
    <tableColumn id="7" name="重量(吨)"/>
    <tableColumn id="8" name="列1"/>
    <tableColumn id="9" name="综合单价"/>
    <tableColumn id="10" name="主材单价"/>
    <tableColumn id="11" name="人工费"/>
    <tableColumn id="12" name="总计"/>
    <tableColumn id="13" name="主材总价"/>
    <tableColumn id="14" name="人工费总价"/>
    <tableColumn id="15" name="主材损耗率%"/>
    <tableColumn id="16" name="工作内容" dataDxfId="6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7"/>
  <sheetViews>
    <sheetView workbookViewId="0">
      <selection activeCell="C2" sqref="C2"/>
    </sheetView>
  </sheetViews>
  <sheetFormatPr defaultColWidth="10" defaultRowHeight="15"/>
  <cols>
    <col min="1" max="1" width="5" style="191" customWidth="1"/>
    <col min="2" max="2" width="12.6666666666667" style="191" customWidth="1"/>
    <col min="3" max="3" width="19" style="191" customWidth="1"/>
    <col min="4" max="4" width="15.375" style="191" customWidth="1"/>
    <col min="5" max="6" width="11.775" style="191" customWidth="1"/>
    <col min="7" max="7" width="7.775" style="191" customWidth="1"/>
    <col min="8" max="8" width="14.8833333333333" style="191" customWidth="1"/>
    <col min="10" max="10" width="12.625"/>
  </cols>
  <sheetData>
    <row r="1" ht="31.5" customHeight="1" spans="1:8">
      <c r="A1" s="192" t="s">
        <v>0</v>
      </c>
      <c r="B1" s="192"/>
      <c r="C1" s="192"/>
      <c r="D1" s="192"/>
      <c r="E1" s="192"/>
      <c r="F1" s="192"/>
      <c r="G1" s="192"/>
    </row>
    <row r="2" ht="21" customHeight="1" spans="1:8">
      <c r="A2" s="193" t="s">
        <v>1</v>
      </c>
      <c r="B2" s="193" t="s">
        <v>2</v>
      </c>
      <c r="C2" s="194" t="s">
        <v>3</v>
      </c>
      <c r="D2" s="193" t="s">
        <v>4</v>
      </c>
      <c r="E2" s="195" t="s">
        <v>5</v>
      </c>
      <c r="F2" s="195" t="s">
        <v>6</v>
      </c>
      <c r="G2" s="193" t="s">
        <v>7</v>
      </c>
      <c r="H2" s="196"/>
    </row>
    <row r="3" ht="21" customHeight="1" spans="1:8">
      <c r="A3" s="197"/>
      <c r="B3" s="197"/>
      <c r="C3" s="198" t="s">
        <v>8</v>
      </c>
      <c r="D3" s="199"/>
      <c r="E3" s="199"/>
      <c r="F3" s="199"/>
      <c r="G3" s="193"/>
    </row>
    <row r="4" ht="21" customHeight="1" spans="1:8">
      <c r="A4" s="197">
        <v>1</v>
      </c>
      <c r="B4" s="200" t="s">
        <v>9</v>
      </c>
      <c r="C4" s="201" t="s">
        <v>10</v>
      </c>
      <c r="D4" s="199">
        <f>表2清单!L4</f>
        <v>11828964.4728324</v>
      </c>
      <c r="E4" s="199">
        <f>表2清单!M4</f>
        <v>5370095.66</v>
      </c>
      <c r="F4" s="199">
        <f>表2清单!N4</f>
        <v>2938281.74</v>
      </c>
      <c r="G4" s="193"/>
    </row>
    <row r="5" ht="21" customHeight="1" spans="1:8">
      <c r="A5" s="202"/>
      <c r="B5" s="203"/>
      <c r="C5" s="201" t="s">
        <v>11</v>
      </c>
      <c r="D5" s="199">
        <f>表2清单!L69</f>
        <v>389815.566300885</v>
      </c>
      <c r="E5" s="199">
        <f>表2清单!M69</f>
        <v>88500</v>
      </c>
      <c r="F5" s="199">
        <f>表2清单!N69</f>
        <v>206460</v>
      </c>
      <c r="G5" s="193"/>
    </row>
    <row r="6" ht="21" customHeight="1" spans="1:8">
      <c r="A6" s="202"/>
      <c r="B6" s="203"/>
      <c r="C6" s="201" t="s">
        <v>12</v>
      </c>
      <c r="D6" s="199">
        <f>表2清单!L112</f>
        <v>113825.808752336</v>
      </c>
      <c r="E6" s="199">
        <f>表2清单!M112</f>
        <v>54500</v>
      </c>
      <c r="F6" s="199">
        <f>表2清单!N112</f>
        <v>35340</v>
      </c>
      <c r="G6" s="193"/>
    </row>
    <row r="7" ht="21" customHeight="1" spans="1:8">
      <c r="A7" s="202"/>
      <c r="B7" s="203"/>
      <c r="C7" s="201" t="s">
        <v>13</v>
      </c>
      <c r="D7" s="199">
        <f>表2清单!L126</f>
        <v>29099.2650812389</v>
      </c>
      <c r="E7" s="199">
        <f>表2清单!M126</f>
        <v>13500</v>
      </c>
      <c r="F7" s="199">
        <f>表2清单!N126</f>
        <v>9100</v>
      </c>
      <c r="G7" s="193"/>
    </row>
    <row r="8" ht="21" customHeight="1" spans="1:8">
      <c r="A8" s="202"/>
      <c r="B8" s="203"/>
      <c r="C8" s="201" t="s">
        <v>14</v>
      </c>
      <c r="D8" s="199">
        <f>表2清单!L135</f>
        <v>236098.102825593</v>
      </c>
      <c r="E8" s="199">
        <f>表2清单!M135</f>
        <v>132388</v>
      </c>
      <c r="F8" s="199">
        <f>表2清单!N135</f>
        <v>53648</v>
      </c>
      <c r="G8" s="193"/>
    </row>
    <row r="9" ht="21" customHeight="1" spans="1:8">
      <c r="A9" s="202"/>
      <c r="B9" s="203"/>
      <c r="C9" s="201" t="s">
        <v>15</v>
      </c>
      <c r="D9" s="199">
        <f>表2清单!L147</f>
        <v>671715.637309381</v>
      </c>
      <c r="E9" s="199">
        <f>表2清单!M147</f>
        <v>263900</v>
      </c>
      <c r="F9" s="199">
        <f>表2清单!N147</f>
        <v>219100</v>
      </c>
      <c r="G9" s="193"/>
    </row>
    <row r="10" ht="21" customHeight="1" spans="1:8">
      <c r="A10" s="202"/>
      <c r="B10" s="203"/>
      <c r="C10" s="201" t="s">
        <v>16</v>
      </c>
      <c r="D10" s="199">
        <f>表2清单!L162</f>
        <v>1085578.98394715</v>
      </c>
      <c r="E10" s="199">
        <f>表2清单!M162</f>
        <v>299805</v>
      </c>
      <c r="F10" s="199">
        <f>表2清单!N162</f>
        <v>479773</v>
      </c>
      <c r="G10" s="193"/>
    </row>
    <row r="11" ht="21" customHeight="1" spans="1:8">
      <c r="A11" s="202"/>
      <c r="B11" s="203"/>
      <c r="C11" s="201" t="s">
        <v>17</v>
      </c>
      <c r="D11" s="199">
        <f>表2清单!L257</f>
        <v>142603.455282301</v>
      </c>
      <c r="E11" s="199">
        <f>表2清单!M257</f>
        <v>30585</v>
      </c>
      <c r="F11" s="199">
        <f>表2清单!N257</f>
        <v>76950</v>
      </c>
      <c r="G11" s="193"/>
    </row>
    <row r="12" ht="21" customHeight="1" spans="1:8">
      <c r="A12" s="202"/>
      <c r="B12" s="203"/>
      <c r="C12" s="201" t="s">
        <v>18</v>
      </c>
      <c r="D12" s="199">
        <f>表2清单!L267</f>
        <v>93942.6294325221</v>
      </c>
      <c r="E12" s="199">
        <f>表2清单!M267</f>
        <v>11088</v>
      </c>
      <c r="F12" s="199">
        <f>表2清单!N267</f>
        <v>59565</v>
      </c>
      <c r="G12" s="193"/>
    </row>
    <row r="13" ht="21" customHeight="1" spans="1:8">
      <c r="A13" s="202"/>
      <c r="B13" s="203"/>
      <c r="C13" s="201" t="s">
        <v>19</v>
      </c>
      <c r="D13" s="199">
        <f>表2清单!L300</f>
        <v>28643.657119469</v>
      </c>
      <c r="E13" s="199">
        <f>表2清单!M300</f>
        <v>200</v>
      </c>
      <c r="F13" s="199">
        <f>表2清单!N300</f>
        <v>20880</v>
      </c>
      <c r="G13" s="193"/>
    </row>
    <row r="14" ht="21" customHeight="1" spans="1:8">
      <c r="A14" s="202"/>
      <c r="B14" s="203"/>
      <c r="C14" s="201" t="s">
        <v>20</v>
      </c>
      <c r="D14" s="199">
        <f>表2清单!L320</f>
        <v>30869.7542443584</v>
      </c>
      <c r="E14" s="199">
        <f>表2清单!M320</f>
        <v>6317.3</v>
      </c>
      <c r="F14" s="199">
        <f>表2清单!N320</f>
        <v>17573.4</v>
      </c>
      <c r="G14" s="193"/>
    </row>
    <row r="15" ht="21" customHeight="1" spans="1:8">
      <c r="A15" s="202"/>
      <c r="B15" s="203"/>
      <c r="C15" s="201" t="s">
        <v>21</v>
      </c>
      <c r="D15" s="199">
        <f>表2清单!L338</f>
        <v>19043.1904115469</v>
      </c>
      <c r="E15" s="199">
        <f>表2清单!M338</f>
        <v>1602</v>
      </c>
      <c r="F15" s="199">
        <f>表2清单!N338</f>
        <v>13124</v>
      </c>
      <c r="G15" s="193"/>
    </row>
    <row r="16" ht="21" customHeight="1" spans="1:8">
      <c r="A16" s="202"/>
      <c r="B16" s="203"/>
      <c r="C16" s="201" t="s">
        <v>22</v>
      </c>
      <c r="D16" s="199">
        <f>表2清单!L356</f>
        <v>219302.282535221</v>
      </c>
      <c r="E16" s="199">
        <f>表2清单!M356</f>
        <v>25756</v>
      </c>
      <c r="F16" s="199">
        <f>表2清单!N356</f>
        <v>136668</v>
      </c>
      <c r="G16" s="193"/>
    </row>
    <row r="17" ht="21" customHeight="1" spans="1:10">
      <c r="A17" s="202"/>
      <c r="B17" s="203"/>
      <c r="C17" s="201" t="s">
        <v>23</v>
      </c>
      <c r="D17" s="199">
        <f>表2清单!L377</f>
        <v>1290818.43065178</v>
      </c>
      <c r="E17" s="199">
        <f>表2清单!M377</f>
        <v>428691.062</v>
      </c>
      <c r="F17" s="199">
        <f>表2清单!N377</f>
        <v>204200</v>
      </c>
      <c r="G17" s="193"/>
    </row>
    <row r="18" ht="21" customHeight="1" spans="1:10">
      <c r="A18" s="202"/>
      <c r="B18" s="203"/>
      <c r="C18" s="201" t="s">
        <v>24</v>
      </c>
      <c r="D18" s="199">
        <f>表2清单!L389</f>
        <v>1912679.09266809</v>
      </c>
      <c r="E18" s="199">
        <f>表2清单!M389</f>
        <v>2072</v>
      </c>
      <c r="F18" s="199">
        <f>表2清单!N389</f>
        <v>962817.37</v>
      </c>
      <c r="G18" s="193"/>
    </row>
    <row r="19" ht="21" customHeight="1" spans="1:10">
      <c r="A19" s="202"/>
      <c r="B19" s="203"/>
      <c r="C19" s="201" t="s">
        <v>25</v>
      </c>
      <c r="D19" s="199">
        <f>表2清单!L447</f>
        <v>38000</v>
      </c>
      <c r="E19" s="199">
        <f>表2清单!M447</f>
        <v>0</v>
      </c>
      <c r="F19" s="199">
        <f>表2清单!N447</f>
        <v>30000</v>
      </c>
      <c r="G19" s="193"/>
    </row>
    <row r="20" ht="21" customHeight="1" spans="1:10">
      <c r="A20" s="202"/>
      <c r="B20" s="203"/>
      <c r="C20" s="204" t="s">
        <v>26</v>
      </c>
      <c r="D20" s="199">
        <f>SUM(D4:D19)</f>
        <v>18131000.3293943</v>
      </c>
      <c r="E20" s="199">
        <f>SUM(E4:E19)</f>
        <v>6729000.022</v>
      </c>
      <c r="F20" s="199">
        <f>SUM(F4:F19)</f>
        <v>5463480.51</v>
      </c>
      <c r="G20" s="193"/>
      <c r="H20" s="196"/>
    </row>
    <row r="21" ht="21" customHeight="1" spans="1:10">
      <c r="A21" s="202"/>
      <c r="B21" s="203"/>
      <c r="C21" s="198" t="s">
        <v>27</v>
      </c>
      <c r="D21" s="199">
        <f>D20*0.0675</f>
        <v>1223842.52223411</v>
      </c>
      <c r="E21" s="199"/>
      <c r="F21" s="199"/>
      <c r="G21" s="193"/>
    </row>
    <row r="22" ht="21" customHeight="1" spans="1:10">
      <c r="A22" s="202"/>
      <c r="B22" s="203"/>
      <c r="C22" s="198"/>
      <c r="D22" s="199"/>
      <c r="E22" s="199"/>
      <c r="F22" s="199"/>
      <c r="G22" s="193"/>
    </row>
    <row r="23" ht="21" customHeight="1" spans="1:10">
      <c r="A23" s="202"/>
      <c r="B23" s="203"/>
      <c r="C23" s="198" t="s">
        <v>28</v>
      </c>
      <c r="D23" s="199"/>
      <c r="E23" s="199"/>
      <c r="F23" s="199"/>
      <c r="G23" s="193"/>
    </row>
    <row r="24" ht="21" customHeight="1" spans="1:10">
      <c r="A24" s="202"/>
      <c r="B24" s="203"/>
      <c r="C24" s="204"/>
      <c r="D24" s="199"/>
      <c r="E24" s="199"/>
      <c r="F24" s="199"/>
      <c r="G24" s="193"/>
    </row>
    <row r="25" ht="21" customHeight="1" spans="1:10">
      <c r="A25" s="202"/>
      <c r="B25" s="203"/>
      <c r="C25" s="198"/>
      <c r="D25" s="199"/>
      <c r="E25" s="199"/>
      <c r="F25" s="199"/>
      <c r="G25" s="193"/>
    </row>
    <row r="26" ht="21" customHeight="1" spans="1:10">
      <c r="A26" s="202"/>
      <c r="B26" s="203"/>
      <c r="C26" s="198"/>
      <c r="D26" s="199"/>
      <c r="E26" s="199"/>
      <c r="F26" s="199"/>
      <c r="G26" s="193"/>
    </row>
    <row r="27" ht="21" customHeight="1" spans="1:10">
      <c r="A27" s="205"/>
      <c r="B27" s="206"/>
      <c r="C27" s="207" t="s">
        <v>29</v>
      </c>
      <c r="D27" s="199">
        <f>D20+D23</f>
        <v>18131000.3293943</v>
      </c>
      <c r="E27" s="199">
        <f>E20+E23</f>
        <v>6729000.022</v>
      </c>
      <c r="F27" s="199">
        <f>F20+F23</f>
        <v>5463480.51</v>
      </c>
      <c r="G27" s="193"/>
      <c r="J27" s="208"/>
    </row>
    <row r="28" s="46" customFormat="1" ht="20.25" customHeight="1" spans="1:10">
      <c r="A28" s="209" t="s">
        <v>30</v>
      </c>
      <c r="B28" s="209"/>
      <c r="C28" s="210">
        <f>ROUND(D27,0)</f>
        <v>18131000</v>
      </c>
      <c r="D28" s="210"/>
      <c r="E28" s="210"/>
      <c r="F28" s="211"/>
      <c r="G28" s="211"/>
      <c r="H28" s="212"/>
      <c r="I28" s="213"/>
    </row>
    <row r="29" s="46" customFormat="1" ht="12" customHeight="1" spans="1:10">
      <c r="A29" s="214"/>
      <c r="B29" s="214"/>
      <c r="C29" s="214"/>
      <c r="D29" s="214"/>
      <c r="E29" s="214"/>
      <c r="F29" s="214"/>
      <c r="G29" s="214"/>
      <c r="H29" s="212"/>
      <c r="I29" s="215"/>
    </row>
    <row r="30" s="46" customFormat="1" ht="20.25" customHeight="1" spans="1:10">
      <c r="A30" s="211" t="s">
        <v>31</v>
      </c>
      <c r="B30" s="211"/>
      <c r="C30" s="211"/>
      <c r="D30" s="211"/>
      <c r="E30" s="211"/>
      <c r="F30" s="211"/>
      <c r="G30" s="211"/>
      <c r="H30" s="212"/>
      <c r="I30" s="215"/>
    </row>
    <row r="31" s="46" customFormat="1" ht="14.25" customHeight="1" spans="1:10">
      <c r="A31" s="216"/>
      <c r="B31" s="216"/>
      <c r="C31" s="216"/>
      <c r="D31" s="216"/>
      <c r="E31" s="216"/>
      <c r="F31" s="216"/>
      <c r="G31" s="216"/>
      <c r="H31" s="212"/>
      <c r="I31" s="215"/>
    </row>
    <row r="32" s="46" customFormat="1" ht="20.25" customHeight="1" spans="1:10">
      <c r="A32" s="211" t="s">
        <v>32</v>
      </c>
      <c r="B32" s="211"/>
      <c r="C32" s="211"/>
      <c r="D32" s="211"/>
      <c r="E32" s="211"/>
      <c r="F32" s="211"/>
      <c r="G32" s="211"/>
      <c r="H32" s="212"/>
      <c r="I32" s="215"/>
    </row>
    <row r="33" s="46" customFormat="1" ht="12" customHeight="1" spans="1:9">
      <c r="A33" s="216"/>
      <c r="B33" s="216"/>
      <c r="C33" s="216"/>
      <c r="D33" s="216"/>
      <c r="E33" s="216"/>
      <c r="F33" s="216"/>
      <c r="G33" s="216"/>
      <c r="H33" s="212"/>
      <c r="I33" s="215"/>
    </row>
    <row r="34" s="46" customFormat="1" ht="13.5" customHeight="1" spans="1:9">
      <c r="A34" s="211" t="s">
        <v>33</v>
      </c>
      <c r="B34" s="211"/>
      <c r="C34" s="211"/>
      <c r="D34" s="211"/>
      <c r="E34" s="211"/>
      <c r="F34" s="211"/>
      <c r="G34" s="211"/>
      <c r="H34" s="212"/>
      <c r="I34" s="215"/>
    </row>
    <row r="35" s="46" customFormat="1" spans="1:9">
      <c r="A35" s="214"/>
      <c r="B35" s="214"/>
      <c r="C35" s="214"/>
      <c r="D35" s="214"/>
      <c r="E35" s="214"/>
      <c r="F35" s="214"/>
      <c r="G35" s="214"/>
      <c r="H35" s="212"/>
      <c r="I35" s="215"/>
    </row>
    <row r="36" s="46" customFormat="1" spans="1:9">
      <c r="A36" s="214"/>
      <c r="B36" s="214"/>
      <c r="C36" s="214"/>
      <c r="D36" s="214"/>
      <c r="E36" s="214"/>
      <c r="F36" s="214"/>
      <c r="G36" s="214"/>
      <c r="H36" s="212"/>
      <c r="I36" s="215"/>
    </row>
    <row r="37" s="46" customFormat="1" spans="1:9">
      <c r="A37" s="214"/>
      <c r="B37" s="214"/>
      <c r="C37" s="214"/>
      <c r="D37" s="214"/>
      <c r="E37" s="214"/>
      <c r="F37" s="214"/>
      <c r="G37" s="214"/>
      <c r="H37" s="212"/>
      <c r="I37" s="215"/>
    </row>
  </sheetData>
  <mergeCells count="8">
    <mergeCell ref="A1:G1"/>
    <mergeCell ref="A28:B28"/>
    <mergeCell ref="C28:D28"/>
    <mergeCell ref="A30:G30"/>
    <mergeCell ref="A32:G32"/>
    <mergeCell ref="A34:G34"/>
    <mergeCell ref="A4:A27"/>
    <mergeCell ref="B4:B27"/>
  </mergeCells>
  <printOptions horizontalCentered="1"/>
  <pageMargins left="0.708661417322835" right="0.708661417322835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448"/>
  <sheetViews>
    <sheetView showZeros="0" tabSelected="1" zoomScaleSheetLayoutView="80" workbookViewId="0">
      <pane ySplit="3" topLeftCell="A4" activePane="bottomLeft" state="frozenSplit"/>
      <selection/>
      <selection pane="bottomLeft" activeCell="D7" sqref="D7"/>
    </sheetView>
  </sheetViews>
  <sheetFormatPr defaultColWidth="8.88333333333333" defaultRowHeight="12.75"/>
  <cols>
    <col min="1" max="1" width="4.63333333333333" style="101" customWidth="1"/>
    <col min="2" max="2" width="7.03333333333333" style="101" customWidth="1"/>
    <col min="3" max="3" width="15.75" style="102" customWidth="1"/>
    <col min="4" max="4" width="13.875" style="103" customWidth="1"/>
    <col min="5" max="5" width="7.03333333333333" style="101" customWidth="1"/>
    <col min="6" max="6" width="8.51666666666667" style="104" customWidth="1"/>
    <col min="7" max="8" width="5.375" style="104" customWidth="1"/>
    <col min="9" max="9" width="10.5" style="105" customWidth="1"/>
    <col min="10" max="10" width="8.89166666666667" style="105" customWidth="1"/>
    <col min="11" max="12" width="11.5" style="105" customWidth="1"/>
    <col min="13" max="13" width="10.5" style="105" customWidth="1"/>
    <col min="14" max="14" width="9.99166666666667" style="105" customWidth="1"/>
    <col min="15" max="15" width="5.23333333333333" style="99" customWidth="1"/>
    <col min="16" max="16" width="31.9083333333333" style="106" customWidth="1"/>
    <col min="17" max="17" width="12.25" style="99" customWidth="1"/>
    <col min="18" max="20" width="8.88333333333333" style="99"/>
    <col min="21" max="21" width="10.5" style="105" customWidth="1"/>
    <col min="22" max="22" width="14.75" style="99" customWidth="1"/>
    <col min="23" max="23" width="13.5" style="99" customWidth="1"/>
    <col min="24" max="16384" width="8.88333333333333" style="99"/>
  </cols>
  <sheetData>
    <row r="1" ht="22" customHeight="1" spans="1:23">
      <c r="A1" s="107" t="s">
        <v>34</v>
      </c>
      <c r="B1" s="108" t="s">
        <v>35</v>
      </c>
      <c r="C1" s="109" t="s">
        <v>36</v>
      </c>
      <c r="D1" s="109" t="s">
        <v>37</v>
      </c>
      <c r="E1" s="108" t="s">
        <v>38</v>
      </c>
      <c r="F1" s="110" t="s">
        <v>39</v>
      </c>
      <c r="G1" s="110" t="s">
        <v>40</v>
      </c>
      <c r="H1" s="110"/>
      <c r="I1" s="111" t="s">
        <v>41</v>
      </c>
      <c r="J1" s="111"/>
      <c r="K1" s="111"/>
      <c r="L1" s="111" t="s">
        <v>42</v>
      </c>
      <c r="M1" s="111"/>
      <c r="N1" s="111"/>
      <c r="O1" s="112" t="s">
        <v>43</v>
      </c>
      <c r="P1" s="113" t="s">
        <v>44</v>
      </c>
      <c r="U1" s="111" t="s">
        <v>41</v>
      </c>
    </row>
    <row r="2" ht="22" customHeight="1" spans="1:23">
      <c r="A2" s="107"/>
      <c r="B2" s="108"/>
      <c r="C2" s="109"/>
      <c r="D2" s="109"/>
      <c r="E2" s="108"/>
      <c r="F2" s="108"/>
      <c r="G2" s="110" t="s">
        <v>45</v>
      </c>
      <c r="H2" s="110" t="s">
        <v>46</v>
      </c>
      <c r="I2" s="111" t="s">
        <v>47</v>
      </c>
      <c r="J2" s="114" t="s">
        <v>48</v>
      </c>
      <c r="K2" s="114"/>
      <c r="L2" s="111" t="s">
        <v>49</v>
      </c>
      <c r="M2" s="114" t="s">
        <v>48</v>
      </c>
      <c r="N2" s="114"/>
      <c r="O2" s="112"/>
      <c r="P2" s="113"/>
      <c r="U2" s="111" t="s">
        <v>47</v>
      </c>
    </row>
    <row r="3" ht="22" customHeight="1" spans="1:23">
      <c r="A3" s="107"/>
      <c r="B3" s="108"/>
      <c r="C3" s="109"/>
      <c r="D3" s="109"/>
      <c r="E3" s="108"/>
      <c r="F3" s="108"/>
      <c r="G3" s="110"/>
      <c r="H3" s="110"/>
      <c r="I3" s="111"/>
      <c r="J3" s="111" t="s">
        <v>50</v>
      </c>
      <c r="K3" s="111" t="s">
        <v>51</v>
      </c>
      <c r="L3" s="111"/>
      <c r="M3" s="111" t="s">
        <v>52</v>
      </c>
      <c r="N3" s="111" t="s">
        <v>53</v>
      </c>
      <c r="O3" s="112"/>
      <c r="P3" s="113"/>
      <c r="U3" s="111"/>
    </row>
    <row r="4" ht="22" customHeight="1" spans="1:23">
      <c r="A4" s="108">
        <f>ROW()-4</f>
        <v>0</v>
      </c>
      <c r="B4" s="108">
        <v>1</v>
      </c>
      <c r="C4" s="115" t="s">
        <v>54</v>
      </c>
      <c r="D4" s="115"/>
      <c r="E4" s="108"/>
      <c r="F4" s="108"/>
      <c r="G4" s="110"/>
      <c r="H4" s="110"/>
      <c r="I4" s="111"/>
      <c r="J4" s="111"/>
      <c r="K4" s="111"/>
      <c r="L4" s="111">
        <f>SUM(L5:L68)</f>
        <v>11828964.4728324</v>
      </c>
      <c r="M4" s="111">
        <f>SUM(M5:M68)</f>
        <v>5370095.66</v>
      </c>
      <c r="N4" s="111">
        <f>SUM(N5:N68)</f>
        <v>2938281.74</v>
      </c>
      <c r="O4" s="112"/>
      <c r="P4" s="116"/>
      <c r="U4" s="111"/>
    </row>
    <row r="5" ht="22" customHeight="1" spans="1:23">
      <c r="A5" s="108">
        <v>1</v>
      </c>
      <c r="B5" s="108">
        <v>1.1</v>
      </c>
      <c r="C5" s="115" t="s">
        <v>55</v>
      </c>
      <c r="D5" s="115"/>
      <c r="E5" s="108"/>
      <c r="F5" s="108"/>
      <c r="G5" s="110"/>
      <c r="H5" s="110"/>
      <c r="I5" s="111"/>
      <c r="J5" s="111"/>
      <c r="K5" s="111"/>
      <c r="L5" s="111"/>
      <c r="M5" s="111"/>
      <c r="N5" s="111"/>
      <c r="O5" s="112"/>
      <c r="P5" s="116"/>
      <c r="U5" s="111"/>
    </row>
    <row r="6" ht="105" customHeight="1" spans="1:23">
      <c r="A6" s="108">
        <v>2</v>
      </c>
      <c r="B6" s="108" t="s">
        <v>56</v>
      </c>
      <c r="C6" s="115" t="s">
        <v>57</v>
      </c>
      <c r="D6" s="115" t="s">
        <v>58</v>
      </c>
      <c r="E6" s="117" t="s">
        <v>59</v>
      </c>
      <c r="F6" s="110">
        <v>120</v>
      </c>
      <c r="G6" s="110"/>
      <c r="H6" s="110"/>
      <c r="I6" s="111">
        <v>794.40165180531</v>
      </c>
      <c r="J6" s="111">
        <v>260</v>
      </c>
      <c r="K6" s="111">
        <v>192.5</v>
      </c>
      <c r="L6" s="111">
        <f>F6*I6</f>
        <v>95328.1982166372</v>
      </c>
      <c r="M6" s="111">
        <f>F6*J6</f>
        <v>31200</v>
      </c>
      <c r="N6" s="111">
        <f>F6*K6</f>
        <v>23100</v>
      </c>
      <c r="O6" s="118"/>
      <c r="P6" s="116" t="s">
        <v>60</v>
      </c>
      <c r="U6" s="111">
        <v>794.40165180531</v>
      </c>
      <c r="V6" s="99">
        <f>I6-U6</f>
        <v>0</v>
      </c>
      <c r="W6" s="99">
        <f>I6-J6</f>
        <v>534.40165180531</v>
      </c>
    </row>
    <row r="7" s="98" customFormat="1" ht="44" customHeight="1" spans="1:23">
      <c r="A7" s="119">
        <v>3</v>
      </c>
      <c r="B7" s="119" t="s">
        <v>61</v>
      </c>
      <c r="C7" s="120" t="s">
        <v>62</v>
      </c>
      <c r="D7" s="121" t="s">
        <v>63</v>
      </c>
      <c r="E7" s="122" t="s">
        <v>64</v>
      </c>
      <c r="F7" s="123">
        <v>9</v>
      </c>
      <c r="G7" s="123"/>
      <c r="H7" s="123"/>
      <c r="I7" s="124">
        <v>5161</v>
      </c>
      <c r="J7" s="124">
        <v>3250</v>
      </c>
      <c r="K7" s="124">
        <v>850</v>
      </c>
      <c r="L7" s="124">
        <f t="shared" ref="L7:L70" si="0">F7*I7</f>
        <v>46449</v>
      </c>
      <c r="M7" s="124">
        <f t="shared" ref="M7:M70" si="1">F7*J7</f>
        <v>29250</v>
      </c>
      <c r="N7" s="124">
        <f t="shared" ref="N7:N70" si="2">F7*K7</f>
        <v>7650</v>
      </c>
      <c r="O7" s="125"/>
      <c r="P7" s="126" t="s">
        <v>65</v>
      </c>
      <c r="Q7" s="98" t="s">
        <v>66</v>
      </c>
      <c r="U7" s="111">
        <v>5361.39168141593</v>
      </c>
      <c r="V7" s="99">
        <f t="shared" ref="V7:V70" si="3">I7-U7</f>
        <v>-200.39168141593</v>
      </c>
      <c r="W7" s="99">
        <f t="shared" ref="W7:W70" si="4">I7-J7</f>
        <v>1911</v>
      </c>
    </row>
    <row r="8" s="98" customFormat="1" ht="62" customHeight="1" spans="1:23">
      <c r="A8" s="119">
        <v>4</v>
      </c>
      <c r="B8" s="119" t="s">
        <v>67</v>
      </c>
      <c r="C8" s="120" t="s">
        <v>68</v>
      </c>
      <c r="D8" s="121" t="s">
        <v>63</v>
      </c>
      <c r="E8" s="122" t="s">
        <v>64</v>
      </c>
      <c r="F8" s="123">
        <v>209</v>
      </c>
      <c r="G8" s="123"/>
      <c r="H8" s="123"/>
      <c r="I8" s="124">
        <v>7251.57864778761</v>
      </c>
      <c r="J8" s="124">
        <v>3510</v>
      </c>
      <c r="K8" s="124">
        <v>2150</v>
      </c>
      <c r="L8" s="124">
        <f t="shared" si="0"/>
        <v>1515579.93738761</v>
      </c>
      <c r="M8" s="124">
        <f t="shared" si="1"/>
        <v>733590</v>
      </c>
      <c r="N8" s="124">
        <f t="shared" si="2"/>
        <v>449350</v>
      </c>
      <c r="O8" s="125"/>
      <c r="P8" s="126" t="s">
        <v>69</v>
      </c>
      <c r="Q8" s="127">
        <v>7000</v>
      </c>
      <c r="R8" s="127" t="s">
        <v>70</v>
      </c>
      <c r="S8" s="127"/>
      <c r="U8" s="111">
        <v>7551.57864778761</v>
      </c>
      <c r="V8" s="99">
        <f t="shared" si="3"/>
        <v>-300</v>
      </c>
      <c r="W8" s="99">
        <f t="shared" si="4"/>
        <v>3741.57864778761</v>
      </c>
    </row>
    <row r="9" ht="53" customHeight="1" spans="1:23">
      <c r="A9" s="108">
        <v>5</v>
      </c>
      <c r="B9" s="108" t="s">
        <v>71</v>
      </c>
      <c r="C9" s="128" t="s">
        <v>72</v>
      </c>
      <c r="D9" s="128" t="s">
        <v>73</v>
      </c>
      <c r="E9" s="129" t="s">
        <v>74</v>
      </c>
      <c r="F9" s="110">
        <v>1536</v>
      </c>
      <c r="G9" s="110"/>
      <c r="H9" s="110"/>
      <c r="I9" s="111">
        <v>127.021847787611</v>
      </c>
      <c r="J9" s="111">
        <v>72</v>
      </c>
      <c r="K9" s="111">
        <v>22</v>
      </c>
      <c r="L9" s="111">
        <f t="shared" si="0"/>
        <v>195105.55820177</v>
      </c>
      <c r="M9" s="111">
        <f t="shared" si="1"/>
        <v>110592</v>
      </c>
      <c r="N9" s="111">
        <f t="shared" si="2"/>
        <v>33792</v>
      </c>
      <c r="O9" s="112"/>
      <c r="P9" s="116" t="s">
        <v>75</v>
      </c>
      <c r="U9" s="111">
        <v>127.021847787611</v>
      </c>
      <c r="V9" s="99">
        <f t="shared" si="3"/>
        <v>0</v>
      </c>
      <c r="W9" s="99">
        <f t="shared" si="4"/>
        <v>55.021847787611</v>
      </c>
    </row>
    <row r="10" ht="22" customHeight="1" spans="1:23">
      <c r="A10" s="108">
        <v>6</v>
      </c>
      <c r="B10" s="108" t="s">
        <v>76</v>
      </c>
      <c r="C10" s="128" t="s">
        <v>77</v>
      </c>
      <c r="D10" s="128" t="s">
        <v>78</v>
      </c>
      <c r="E10" s="129" t="s">
        <v>74</v>
      </c>
      <c r="F10" s="110">
        <v>22.32</v>
      </c>
      <c r="G10" s="110"/>
      <c r="H10" s="110"/>
      <c r="I10" s="111">
        <v>115.608679646018</v>
      </c>
      <c r="J10" s="111">
        <v>63.5</v>
      </c>
      <c r="K10" s="111">
        <v>22</v>
      </c>
      <c r="L10" s="111">
        <f t="shared" si="0"/>
        <v>2580.38572969912</v>
      </c>
      <c r="M10" s="111">
        <f t="shared" si="1"/>
        <v>1417.32</v>
      </c>
      <c r="N10" s="111">
        <f t="shared" si="2"/>
        <v>491.04</v>
      </c>
      <c r="O10" s="112"/>
      <c r="P10" s="116" t="s">
        <v>79</v>
      </c>
      <c r="U10" s="111">
        <v>115.608679646018</v>
      </c>
      <c r="V10" s="99">
        <f t="shared" si="3"/>
        <v>0</v>
      </c>
      <c r="W10" s="99">
        <f t="shared" si="4"/>
        <v>52.108679646018</v>
      </c>
    </row>
    <row r="11" ht="22" customHeight="1" spans="1:23">
      <c r="A11" s="108">
        <v>7</v>
      </c>
      <c r="B11" s="108" t="s">
        <v>80</v>
      </c>
      <c r="C11" s="115" t="s">
        <v>81</v>
      </c>
      <c r="D11" s="115" t="s">
        <v>82</v>
      </c>
      <c r="E11" s="129" t="s">
        <v>74</v>
      </c>
      <c r="F11" s="110">
        <v>3410</v>
      </c>
      <c r="G11" s="110"/>
      <c r="H11" s="110"/>
      <c r="I11" s="130">
        <v>108.153246017699</v>
      </c>
      <c r="J11" s="111">
        <v>50.5</v>
      </c>
      <c r="K11" s="111">
        <v>22</v>
      </c>
      <c r="L11" s="111">
        <f t="shared" si="0"/>
        <v>368802.568920354</v>
      </c>
      <c r="M11" s="111">
        <f t="shared" si="1"/>
        <v>172205</v>
      </c>
      <c r="N11" s="111">
        <f t="shared" si="2"/>
        <v>75020</v>
      </c>
      <c r="O11" s="112"/>
      <c r="P11" s="116" t="s">
        <v>79</v>
      </c>
      <c r="U11" s="111">
        <v>98.1532460176991</v>
      </c>
      <c r="V11" s="99">
        <f t="shared" si="3"/>
        <v>9.9999999999999</v>
      </c>
      <c r="W11" s="99">
        <f t="shared" si="4"/>
        <v>57.653246017699</v>
      </c>
    </row>
    <row r="12" ht="33" customHeight="1" spans="1:23">
      <c r="A12" s="108">
        <v>8</v>
      </c>
      <c r="B12" s="108" t="s">
        <v>83</v>
      </c>
      <c r="C12" s="115" t="s">
        <v>84</v>
      </c>
      <c r="D12" s="115" t="s">
        <v>85</v>
      </c>
      <c r="E12" s="129" t="s">
        <v>74</v>
      </c>
      <c r="F12" s="110">
        <v>420</v>
      </c>
      <c r="G12" s="110"/>
      <c r="H12" s="110"/>
      <c r="I12" s="111">
        <v>57.2001132743363</v>
      </c>
      <c r="J12" s="111">
        <v>20</v>
      </c>
      <c r="K12" s="111">
        <v>22</v>
      </c>
      <c r="L12" s="111">
        <f t="shared" si="0"/>
        <v>24024.0475752212</v>
      </c>
      <c r="M12" s="111">
        <f t="shared" si="1"/>
        <v>8400</v>
      </c>
      <c r="N12" s="111">
        <f t="shared" si="2"/>
        <v>9240</v>
      </c>
      <c r="O12" s="112"/>
      <c r="P12" s="116" t="s">
        <v>79</v>
      </c>
      <c r="U12" s="111">
        <v>57.2001132743363</v>
      </c>
      <c r="V12" s="99">
        <f t="shared" si="3"/>
        <v>0</v>
      </c>
      <c r="W12" s="99">
        <f t="shared" si="4"/>
        <v>37.2001132743363</v>
      </c>
    </row>
    <row r="13" s="98" customFormat="1" ht="48" customHeight="1" spans="1:23">
      <c r="A13" s="119">
        <v>9</v>
      </c>
      <c r="B13" s="119" t="s">
        <v>86</v>
      </c>
      <c r="C13" s="121" t="s">
        <v>87</v>
      </c>
      <c r="D13" s="121" t="s">
        <v>88</v>
      </c>
      <c r="E13" s="131" t="s">
        <v>74</v>
      </c>
      <c r="F13" s="123">
        <v>1558.32</v>
      </c>
      <c r="G13" s="123"/>
      <c r="H13" s="123"/>
      <c r="I13" s="124">
        <v>64.015135841724</v>
      </c>
      <c r="J13" s="124">
        <v>41</v>
      </c>
      <c r="K13" s="124">
        <v>10</v>
      </c>
      <c r="L13" s="124">
        <f t="shared" si="0"/>
        <v>99756.0664848754</v>
      </c>
      <c r="M13" s="124">
        <f t="shared" si="1"/>
        <v>63891.12</v>
      </c>
      <c r="N13" s="124">
        <f t="shared" si="2"/>
        <v>15583.2</v>
      </c>
      <c r="O13" s="132"/>
      <c r="P13" s="126" t="s">
        <v>89</v>
      </c>
      <c r="Q13" s="98" t="s">
        <v>90</v>
      </c>
      <c r="U13" s="111">
        <v>64.015135841724</v>
      </c>
      <c r="V13" s="99">
        <f t="shared" si="3"/>
        <v>0</v>
      </c>
      <c r="W13" s="99">
        <f t="shared" si="4"/>
        <v>23.015135841724</v>
      </c>
    </row>
    <row r="14" s="98" customFormat="1" ht="61" customHeight="1" spans="1:23">
      <c r="A14" s="119">
        <v>10</v>
      </c>
      <c r="B14" s="119" t="s">
        <v>91</v>
      </c>
      <c r="C14" s="121" t="s">
        <v>92</v>
      </c>
      <c r="D14" s="121" t="s">
        <v>93</v>
      </c>
      <c r="E14" s="133" t="s">
        <v>59</v>
      </c>
      <c r="F14" s="123">
        <v>30</v>
      </c>
      <c r="G14" s="123"/>
      <c r="H14" s="123"/>
      <c r="I14" s="124">
        <v>1208.7664</v>
      </c>
      <c r="J14" s="124">
        <v>436</v>
      </c>
      <c r="K14" s="124">
        <v>520</v>
      </c>
      <c r="L14" s="124">
        <f t="shared" si="0"/>
        <v>36262.992</v>
      </c>
      <c r="M14" s="124">
        <f t="shared" si="1"/>
        <v>13080</v>
      </c>
      <c r="N14" s="124">
        <f t="shared" si="2"/>
        <v>15600</v>
      </c>
      <c r="O14" s="132"/>
      <c r="P14" s="126" t="s">
        <v>94</v>
      </c>
      <c r="Q14" s="98" t="s">
        <v>90</v>
      </c>
      <c r="U14" s="111">
        <v>1208.7664</v>
      </c>
      <c r="V14" s="99">
        <f t="shared" si="3"/>
        <v>0</v>
      </c>
      <c r="W14" s="99">
        <f t="shared" si="4"/>
        <v>772.7664</v>
      </c>
    </row>
    <row r="15" s="99" customFormat="1" ht="35" customHeight="1" spans="1:23">
      <c r="A15" s="108">
        <v>11</v>
      </c>
      <c r="B15" s="108" t="s">
        <v>95</v>
      </c>
      <c r="C15" s="115" t="s">
        <v>96</v>
      </c>
      <c r="D15" s="134" t="s">
        <v>97</v>
      </c>
      <c r="E15" s="129" t="s">
        <v>74</v>
      </c>
      <c r="F15" s="110">
        <v>36</v>
      </c>
      <c r="G15" s="110"/>
      <c r="H15" s="110"/>
      <c r="I15" s="111">
        <v>261.719610619469</v>
      </c>
      <c r="J15" s="111">
        <v>200</v>
      </c>
      <c r="K15" s="111">
        <v>30</v>
      </c>
      <c r="L15" s="111">
        <f t="shared" si="0"/>
        <v>9421.90598230088</v>
      </c>
      <c r="M15" s="111">
        <f t="shared" si="1"/>
        <v>7200</v>
      </c>
      <c r="N15" s="111">
        <f t="shared" si="2"/>
        <v>1080</v>
      </c>
      <c r="O15" s="112"/>
      <c r="P15" s="116" t="s">
        <v>98</v>
      </c>
      <c r="U15" s="111">
        <v>261.719610619469</v>
      </c>
      <c r="V15" s="99">
        <f t="shared" si="3"/>
        <v>0</v>
      </c>
      <c r="W15" s="99">
        <f t="shared" si="4"/>
        <v>61.719610619469</v>
      </c>
    </row>
    <row r="16" ht="22" customHeight="1" spans="1:23">
      <c r="A16" s="108">
        <v>12</v>
      </c>
      <c r="B16" s="108" t="s">
        <v>99</v>
      </c>
      <c r="C16" s="115" t="s">
        <v>100</v>
      </c>
      <c r="D16" s="115" t="s">
        <v>101</v>
      </c>
      <c r="E16" s="129" t="s">
        <v>74</v>
      </c>
      <c r="F16" s="110">
        <v>12.32</v>
      </c>
      <c r="G16" s="110"/>
      <c r="H16" s="110"/>
      <c r="I16" s="111">
        <v>495.689557522124</v>
      </c>
      <c r="J16" s="111">
        <v>330</v>
      </c>
      <c r="K16" s="111">
        <v>100</v>
      </c>
      <c r="L16" s="111">
        <f t="shared" si="0"/>
        <v>6106.89534867257</v>
      </c>
      <c r="M16" s="111">
        <f t="shared" si="1"/>
        <v>4065.6</v>
      </c>
      <c r="N16" s="111">
        <f t="shared" si="2"/>
        <v>1232</v>
      </c>
      <c r="O16" s="112"/>
      <c r="P16" s="116" t="s">
        <v>79</v>
      </c>
      <c r="U16" s="111">
        <v>495.689557522124</v>
      </c>
      <c r="V16" s="99">
        <f t="shared" si="3"/>
        <v>0</v>
      </c>
      <c r="W16" s="99">
        <f t="shared" si="4"/>
        <v>165.689557522124</v>
      </c>
    </row>
    <row r="17" ht="22" customHeight="1" spans="1:23">
      <c r="A17" s="108">
        <v>13</v>
      </c>
      <c r="B17" s="108" t="s">
        <v>102</v>
      </c>
      <c r="C17" s="115" t="s">
        <v>103</v>
      </c>
      <c r="D17" s="115"/>
      <c r="E17" s="129" t="s">
        <v>74</v>
      </c>
      <c r="F17" s="110">
        <v>90</v>
      </c>
      <c r="G17" s="110"/>
      <c r="H17" s="110"/>
      <c r="I17" s="111">
        <v>298.196991150443</v>
      </c>
      <c r="J17" s="111">
        <v>210</v>
      </c>
      <c r="K17" s="111">
        <v>50</v>
      </c>
      <c r="L17" s="111">
        <f t="shared" si="0"/>
        <v>26837.7292035399</v>
      </c>
      <c r="M17" s="111">
        <f t="shared" si="1"/>
        <v>18900</v>
      </c>
      <c r="N17" s="111">
        <f t="shared" si="2"/>
        <v>4500</v>
      </c>
      <c r="O17" s="112"/>
      <c r="P17" s="116" t="s">
        <v>79</v>
      </c>
      <c r="U17" s="111">
        <v>298.196991150443</v>
      </c>
      <c r="V17" s="99">
        <f t="shared" si="3"/>
        <v>0</v>
      </c>
      <c r="W17" s="99">
        <f t="shared" si="4"/>
        <v>88.196991150443</v>
      </c>
    </row>
    <row r="18" ht="141" customHeight="1" spans="1:23">
      <c r="A18" s="108">
        <v>14</v>
      </c>
      <c r="B18" s="108" t="s">
        <v>104</v>
      </c>
      <c r="C18" s="115" t="s">
        <v>105</v>
      </c>
      <c r="D18" s="115" t="s">
        <v>106</v>
      </c>
      <c r="E18" s="129" t="s">
        <v>74</v>
      </c>
      <c r="F18" s="110">
        <v>124.8</v>
      </c>
      <c r="G18" s="110"/>
      <c r="H18" s="110"/>
      <c r="I18" s="111">
        <v>71.6993685132744</v>
      </c>
      <c r="J18" s="111">
        <v>17.2</v>
      </c>
      <c r="K18" s="111">
        <v>20</v>
      </c>
      <c r="L18" s="111">
        <f t="shared" si="0"/>
        <v>8948.08119045664</v>
      </c>
      <c r="M18" s="111">
        <f t="shared" si="1"/>
        <v>2146.56</v>
      </c>
      <c r="N18" s="111">
        <f t="shared" si="2"/>
        <v>2496</v>
      </c>
      <c r="O18" s="112"/>
      <c r="P18" s="116" t="s">
        <v>107</v>
      </c>
      <c r="U18" s="111">
        <v>71.6993685132744</v>
      </c>
      <c r="V18" s="99">
        <f t="shared" si="3"/>
        <v>0</v>
      </c>
      <c r="W18" s="99">
        <f t="shared" si="4"/>
        <v>54.4993685132744</v>
      </c>
    </row>
    <row r="19" ht="110" customHeight="1" spans="1:23">
      <c r="A19" s="108">
        <v>15</v>
      </c>
      <c r="B19" s="108" t="s">
        <v>108</v>
      </c>
      <c r="C19" s="115" t="s">
        <v>109</v>
      </c>
      <c r="D19" s="115" t="s">
        <v>110</v>
      </c>
      <c r="E19" s="129" t="s">
        <v>74</v>
      </c>
      <c r="F19" s="110">
        <v>700</v>
      </c>
      <c r="G19" s="110"/>
      <c r="H19" s="110"/>
      <c r="I19" s="111">
        <v>121.521260212389</v>
      </c>
      <c r="J19" s="111">
        <v>32.25</v>
      </c>
      <c r="K19" s="111">
        <v>25</v>
      </c>
      <c r="L19" s="111">
        <f t="shared" si="0"/>
        <v>85064.8821486723</v>
      </c>
      <c r="M19" s="111">
        <f t="shared" si="1"/>
        <v>22575</v>
      </c>
      <c r="N19" s="111">
        <f t="shared" si="2"/>
        <v>17500</v>
      </c>
      <c r="O19" s="112"/>
      <c r="P19" s="116" t="s">
        <v>111</v>
      </c>
      <c r="U19" s="111">
        <v>121.521260212389</v>
      </c>
      <c r="V19" s="99">
        <f t="shared" si="3"/>
        <v>0</v>
      </c>
      <c r="W19" s="99">
        <f t="shared" si="4"/>
        <v>89.271260212389</v>
      </c>
    </row>
    <row r="20" ht="22" customHeight="1" spans="1:23">
      <c r="A20" s="108">
        <v>16</v>
      </c>
      <c r="B20" s="108">
        <v>1.2</v>
      </c>
      <c r="C20" s="115" t="s">
        <v>112</v>
      </c>
      <c r="D20" s="115"/>
      <c r="E20" s="108"/>
      <c r="F20" s="108"/>
      <c r="G20" s="110"/>
      <c r="H20" s="110"/>
      <c r="I20" s="111">
        <v>0</v>
      </c>
      <c r="J20" s="111">
        <v>0</v>
      </c>
      <c r="K20" s="111">
        <v>0</v>
      </c>
      <c r="L20" s="111">
        <f t="shared" si="0"/>
        <v>0</v>
      </c>
      <c r="M20" s="111">
        <f t="shared" si="1"/>
        <v>0</v>
      </c>
      <c r="N20" s="111">
        <f t="shared" si="2"/>
        <v>0</v>
      </c>
      <c r="O20" s="112"/>
      <c r="P20" s="116"/>
      <c r="U20" s="111">
        <v>0</v>
      </c>
      <c r="V20" s="99">
        <f t="shared" si="3"/>
        <v>0</v>
      </c>
      <c r="W20" s="99">
        <f t="shared" si="4"/>
        <v>0</v>
      </c>
    </row>
    <row r="21" ht="105" customHeight="1" spans="1:23">
      <c r="A21" s="108">
        <v>17</v>
      </c>
      <c r="B21" s="108" t="s">
        <v>113</v>
      </c>
      <c r="C21" s="115" t="s">
        <v>114</v>
      </c>
      <c r="D21" s="135" t="s">
        <v>115</v>
      </c>
      <c r="E21" s="117" t="s">
        <v>59</v>
      </c>
      <c r="F21" s="136">
        <v>130</v>
      </c>
      <c r="G21" s="110"/>
      <c r="H21" s="110"/>
      <c r="I21" s="111">
        <v>784.60255180531</v>
      </c>
      <c r="J21" s="111">
        <v>260</v>
      </c>
      <c r="K21" s="111">
        <v>192.5</v>
      </c>
      <c r="L21" s="111">
        <f t="shared" si="0"/>
        <v>101998.33173469</v>
      </c>
      <c r="M21" s="111">
        <f t="shared" si="1"/>
        <v>33800</v>
      </c>
      <c r="N21" s="111">
        <f t="shared" si="2"/>
        <v>25025</v>
      </c>
      <c r="O21" s="112"/>
      <c r="P21" s="116" t="s">
        <v>60</v>
      </c>
      <c r="U21" s="111">
        <v>784.60255180531</v>
      </c>
      <c r="V21" s="99">
        <f t="shared" si="3"/>
        <v>0</v>
      </c>
      <c r="W21" s="99">
        <f t="shared" si="4"/>
        <v>524.60255180531</v>
      </c>
    </row>
    <row r="22" ht="34" customHeight="1" spans="1:23">
      <c r="A22" s="108">
        <v>18</v>
      </c>
      <c r="B22" s="108" t="s">
        <v>116</v>
      </c>
      <c r="C22" s="115" t="s">
        <v>117</v>
      </c>
      <c r="D22" s="135" t="s">
        <v>118</v>
      </c>
      <c r="E22" s="117" t="s">
        <v>59</v>
      </c>
      <c r="F22" s="136">
        <v>314</v>
      </c>
      <c r="G22" s="110"/>
      <c r="H22" s="110"/>
      <c r="I22" s="111">
        <v>1499.69029380531</v>
      </c>
      <c r="J22" s="111">
        <v>570.75</v>
      </c>
      <c r="K22" s="111">
        <v>415</v>
      </c>
      <c r="L22" s="111">
        <f t="shared" si="0"/>
        <v>470902.752254867</v>
      </c>
      <c r="M22" s="111">
        <f t="shared" si="1"/>
        <v>179215.5</v>
      </c>
      <c r="N22" s="111">
        <f t="shared" si="2"/>
        <v>130310</v>
      </c>
      <c r="O22" s="112"/>
      <c r="P22" s="116" t="s">
        <v>79</v>
      </c>
      <c r="U22" s="111">
        <v>1499.69029380531</v>
      </c>
      <c r="V22" s="99">
        <f t="shared" si="3"/>
        <v>0</v>
      </c>
      <c r="W22" s="99">
        <f t="shared" si="4"/>
        <v>928.94029380531</v>
      </c>
    </row>
    <row r="23" ht="42" customHeight="1" spans="1:23">
      <c r="A23" s="108">
        <v>19</v>
      </c>
      <c r="B23" s="108" t="s">
        <v>119</v>
      </c>
      <c r="C23" s="134" t="s">
        <v>120</v>
      </c>
      <c r="D23" s="115" t="s">
        <v>63</v>
      </c>
      <c r="E23" s="137" t="s">
        <v>64</v>
      </c>
      <c r="F23" s="136">
        <v>60</v>
      </c>
      <c r="G23" s="110"/>
      <c r="H23" s="110"/>
      <c r="I23" s="124">
        <v>5161</v>
      </c>
      <c r="J23" s="124">
        <v>3250</v>
      </c>
      <c r="K23" s="124">
        <v>850</v>
      </c>
      <c r="L23" s="111">
        <f t="shared" si="0"/>
        <v>309660</v>
      </c>
      <c r="M23" s="111">
        <f t="shared" si="1"/>
        <v>195000</v>
      </c>
      <c r="N23" s="111">
        <f t="shared" si="2"/>
        <v>51000</v>
      </c>
      <c r="O23" s="112"/>
      <c r="P23" s="116" t="s">
        <v>65</v>
      </c>
      <c r="U23" s="111">
        <v>5361.39168141593</v>
      </c>
      <c r="V23" s="99">
        <f t="shared" si="3"/>
        <v>-200.39168141593</v>
      </c>
      <c r="W23" s="99">
        <f t="shared" si="4"/>
        <v>1911</v>
      </c>
    </row>
    <row r="24" ht="66" customHeight="1" spans="1:23">
      <c r="A24" s="108">
        <v>20</v>
      </c>
      <c r="B24" s="108" t="s">
        <v>121</v>
      </c>
      <c r="C24" s="134" t="s">
        <v>122</v>
      </c>
      <c r="D24" s="134" t="s">
        <v>63</v>
      </c>
      <c r="E24" s="137" t="s">
        <v>64</v>
      </c>
      <c r="F24" s="136">
        <v>408</v>
      </c>
      <c r="G24" s="110"/>
      <c r="H24" s="110"/>
      <c r="I24" s="124">
        <v>7251.57864778761</v>
      </c>
      <c r="J24" s="124">
        <v>3510</v>
      </c>
      <c r="K24" s="111">
        <v>2150</v>
      </c>
      <c r="L24" s="111">
        <f t="shared" si="0"/>
        <v>2958644.08829734</v>
      </c>
      <c r="M24" s="111">
        <f t="shared" si="1"/>
        <v>1432080</v>
      </c>
      <c r="N24" s="111">
        <f t="shared" si="2"/>
        <v>877200</v>
      </c>
      <c r="O24" s="112"/>
      <c r="P24" s="116" t="s">
        <v>123</v>
      </c>
      <c r="U24" s="111">
        <v>7551.57864778761</v>
      </c>
      <c r="V24" s="99">
        <f t="shared" si="3"/>
        <v>-300</v>
      </c>
      <c r="W24" s="99">
        <f t="shared" si="4"/>
        <v>3741.57864778761</v>
      </c>
    </row>
    <row r="25" ht="42" customHeight="1" spans="1:23">
      <c r="A25" s="108">
        <v>21</v>
      </c>
      <c r="B25" s="108" t="s">
        <v>124</v>
      </c>
      <c r="C25" s="138" t="s">
        <v>125</v>
      </c>
      <c r="D25" s="115" t="s">
        <v>63</v>
      </c>
      <c r="E25" s="137" t="s">
        <v>64</v>
      </c>
      <c r="F25" s="136">
        <v>15</v>
      </c>
      <c r="G25" s="110"/>
      <c r="H25" s="110"/>
      <c r="I25" s="111">
        <v>7691.58017699115</v>
      </c>
      <c r="J25" s="111">
        <v>3910</v>
      </c>
      <c r="K25" s="111">
        <v>2150</v>
      </c>
      <c r="L25" s="111">
        <f t="shared" si="0"/>
        <v>115373.702654867</v>
      </c>
      <c r="M25" s="111">
        <f t="shared" si="1"/>
        <v>58650</v>
      </c>
      <c r="N25" s="111">
        <f t="shared" si="2"/>
        <v>32250</v>
      </c>
      <c r="O25" s="112"/>
      <c r="P25" s="116" t="s">
        <v>79</v>
      </c>
      <c r="U25" s="111">
        <v>7691.58017699115</v>
      </c>
      <c r="V25" s="99">
        <f t="shared" si="3"/>
        <v>0</v>
      </c>
      <c r="W25" s="99">
        <f t="shared" si="4"/>
        <v>3781.58017699115</v>
      </c>
    </row>
    <row r="26" s="98" customFormat="1" ht="73" customHeight="1" spans="1:23">
      <c r="A26" s="119">
        <v>22</v>
      </c>
      <c r="B26" s="119" t="s">
        <v>126</v>
      </c>
      <c r="C26" s="139" t="s">
        <v>127</v>
      </c>
      <c r="D26" s="121" t="s">
        <v>128</v>
      </c>
      <c r="E26" s="122" t="s">
        <v>129</v>
      </c>
      <c r="F26" s="140">
        <v>25</v>
      </c>
      <c r="G26" s="123"/>
      <c r="H26" s="123"/>
      <c r="I26" s="124">
        <v>4678.28</v>
      </c>
      <c r="J26" s="124">
        <v>2200</v>
      </c>
      <c r="K26" s="124">
        <v>1500</v>
      </c>
      <c r="L26" s="124">
        <f t="shared" si="0"/>
        <v>116957</v>
      </c>
      <c r="M26" s="124">
        <f t="shared" si="1"/>
        <v>55000</v>
      </c>
      <c r="N26" s="124">
        <f t="shared" si="2"/>
        <v>37500</v>
      </c>
      <c r="O26" s="132"/>
      <c r="P26" s="126" t="s">
        <v>130</v>
      </c>
      <c r="Q26" s="98" t="s">
        <v>131</v>
      </c>
      <c r="U26" s="111">
        <v>4678.28</v>
      </c>
      <c r="V26" s="99">
        <f t="shared" si="3"/>
        <v>0</v>
      </c>
      <c r="W26" s="99">
        <f t="shared" si="4"/>
        <v>2478.28</v>
      </c>
    </row>
    <row r="27" s="98" customFormat="1" ht="85" customHeight="1" spans="1:23">
      <c r="A27" s="119">
        <v>23</v>
      </c>
      <c r="B27" s="119" t="s">
        <v>132</v>
      </c>
      <c r="C27" s="139" t="s">
        <v>133</v>
      </c>
      <c r="D27" s="121" t="s">
        <v>134</v>
      </c>
      <c r="E27" s="133" t="s">
        <v>59</v>
      </c>
      <c r="F27" s="140">
        <v>30</v>
      </c>
      <c r="G27" s="123"/>
      <c r="H27" s="123"/>
      <c r="I27" s="124">
        <v>2275.92</v>
      </c>
      <c r="J27" s="124">
        <v>1500</v>
      </c>
      <c r="K27" s="124">
        <v>300</v>
      </c>
      <c r="L27" s="124">
        <f t="shared" si="0"/>
        <v>68277.6</v>
      </c>
      <c r="M27" s="124">
        <f t="shared" si="1"/>
        <v>45000</v>
      </c>
      <c r="N27" s="124">
        <f t="shared" si="2"/>
        <v>9000</v>
      </c>
      <c r="O27" s="132"/>
      <c r="P27" s="126" t="s">
        <v>135</v>
      </c>
      <c r="Q27" s="98" t="s">
        <v>131</v>
      </c>
      <c r="U27" s="111">
        <v>2275.92</v>
      </c>
      <c r="V27" s="99">
        <f t="shared" si="3"/>
        <v>0</v>
      </c>
      <c r="W27" s="99">
        <f t="shared" si="4"/>
        <v>775.92</v>
      </c>
    </row>
    <row r="28" ht="22" customHeight="1" spans="1:23">
      <c r="A28" s="108">
        <v>24</v>
      </c>
      <c r="B28" s="108">
        <v>1.3</v>
      </c>
      <c r="C28" s="141" t="s">
        <v>136</v>
      </c>
      <c r="D28" s="135"/>
      <c r="E28" s="142"/>
      <c r="F28" s="142"/>
      <c r="G28" s="110"/>
      <c r="H28" s="110"/>
      <c r="I28" s="111">
        <v>0</v>
      </c>
      <c r="J28" s="111">
        <v>0</v>
      </c>
      <c r="K28" s="111">
        <v>0</v>
      </c>
      <c r="L28" s="111">
        <f t="shared" si="0"/>
        <v>0</v>
      </c>
      <c r="M28" s="111">
        <f t="shared" si="1"/>
        <v>0</v>
      </c>
      <c r="N28" s="111">
        <f t="shared" si="2"/>
        <v>0</v>
      </c>
      <c r="O28" s="112"/>
      <c r="P28" s="116"/>
      <c r="U28" s="111">
        <v>0</v>
      </c>
      <c r="V28" s="99">
        <f t="shared" si="3"/>
        <v>0</v>
      </c>
      <c r="W28" s="99">
        <f t="shared" si="4"/>
        <v>0</v>
      </c>
    </row>
    <row r="29" ht="113" customHeight="1" spans="1:23">
      <c r="A29" s="108">
        <v>25</v>
      </c>
      <c r="B29" s="108" t="s">
        <v>137</v>
      </c>
      <c r="C29" s="141" t="s">
        <v>138</v>
      </c>
      <c r="D29" s="135" t="s">
        <v>115</v>
      </c>
      <c r="E29" s="117" t="s">
        <v>59</v>
      </c>
      <c r="F29" s="136">
        <v>495</v>
      </c>
      <c r="G29" s="110"/>
      <c r="H29" s="110"/>
      <c r="I29" s="111">
        <v>901.55955180531</v>
      </c>
      <c r="J29" s="111">
        <v>260</v>
      </c>
      <c r="K29" s="111">
        <v>235</v>
      </c>
      <c r="L29" s="111">
        <f t="shared" si="0"/>
        <v>446271.978143628</v>
      </c>
      <c r="M29" s="111">
        <f t="shared" si="1"/>
        <v>128700</v>
      </c>
      <c r="N29" s="111">
        <f t="shared" si="2"/>
        <v>116325</v>
      </c>
      <c r="O29" s="112"/>
      <c r="P29" s="116" t="s">
        <v>60</v>
      </c>
      <c r="U29" s="111">
        <v>901.55955180531</v>
      </c>
      <c r="V29" s="99">
        <f t="shared" si="3"/>
        <v>0</v>
      </c>
      <c r="W29" s="99">
        <f t="shared" si="4"/>
        <v>641.55955180531</v>
      </c>
    </row>
    <row r="30" ht="39" customHeight="1" spans="1:23">
      <c r="A30" s="108">
        <v>26</v>
      </c>
      <c r="B30" s="108" t="s">
        <v>139</v>
      </c>
      <c r="C30" s="141" t="s">
        <v>140</v>
      </c>
      <c r="D30" s="115" t="s">
        <v>63</v>
      </c>
      <c r="E30" s="137" t="s">
        <v>64</v>
      </c>
      <c r="F30" s="136">
        <v>59.4</v>
      </c>
      <c r="G30" s="110"/>
      <c r="H30" s="110"/>
      <c r="I30" s="124">
        <v>5161</v>
      </c>
      <c r="J30" s="124">
        <v>3250</v>
      </c>
      <c r="K30" s="124">
        <v>850</v>
      </c>
      <c r="L30" s="111">
        <f t="shared" si="0"/>
        <v>306563.4</v>
      </c>
      <c r="M30" s="111">
        <f t="shared" si="1"/>
        <v>193050</v>
      </c>
      <c r="N30" s="111">
        <f t="shared" si="2"/>
        <v>50490</v>
      </c>
      <c r="O30" s="112"/>
      <c r="P30" s="116" t="s">
        <v>65</v>
      </c>
      <c r="U30" s="111">
        <v>5361.39168141593</v>
      </c>
      <c r="V30" s="99">
        <f t="shared" si="3"/>
        <v>-200.39168141593</v>
      </c>
      <c r="W30" s="99">
        <f t="shared" si="4"/>
        <v>1911</v>
      </c>
    </row>
    <row r="31" ht="58" customHeight="1" spans="1:23">
      <c r="A31" s="108">
        <v>27</v>
      </c>
      <c r="B31" s="108" t="s">
        <v>141</v>
      </c>
      <c r="C31" s="138" t="s">
        <v>142</v>
      </c>
      <c r="D31" s="115" t="s">
        <v>63</v>
      </c>
      <c r="E31" s="137" t="s">
        <v>64</v>
      </c>
      <c r="F31" s="136">
        <v>23.27</v>
      </c>
      <c r="G31" s="110"/>
      <c r="H31" s="110"/>
      <c r="I31" s="111">
        <v>8055.23504424779</v>
      </c>
      <c r="J31" s="111">
        <v>4600</v>
      </c>
      <c r="K31" s="111">
        <v>1300</v>
      </c>
      <c r="L31" s="111">
        <f t="shared" si="0"/>
        <v>187445.319479646</v>
      </c>
      <c r="M31" s="111">
        <f t="shared" si="1"/>
        <v>107042</v>
      </c>
      <c r="N31" s="111">
        <f t="shared" si="2"/>
        <v>30251</v>
      </c>
      <c r="O31" s="112"/>
      <c r="P31" s="116" t="s">
        <v>143</v>
      </c>
      <c r="U31" s="111">
        <v>8055.23504424779</v>
      </c>
      <c r="V31" s="99">
        <f t="shared" si="3"/>
        <v>0</v>
      </c>
      <c r="W31" s="99">
        <f t="shared" si="4"/>
        <v>3455.23504424779</v>
      </c>
    </row>
    <row r="32" ht="62" customHeight="1" spans="1:23">
      <c r="A32" s="108">
        <v>28</v>
      </c>
      <c r="B32" s="108" t="s">
        <v>144</v>
      </c>
      <c r="C32" s="141" t="s">
        <v>145</v>
      </c>
      <c r="D32" s="115" t="s">
        <v>63</v>
      </c>
      <c r="E32" s="137" t="s">
        <v>64</v>
      </c>
      <c r="F32" s="136">
        <v>2</v>
      </c>
      <c r="G32" s="110"/>
      <c r="H32" s="110"/>
      <c r="I32" s="111">
        <v>7551.57864778761</v>
      </c>
      <c r="J32" s="111">
        <v>3910</v>
      </c>
      <c r="K32" s="111">
        <v>2150</v>
      </c>
      <c r="L32" s="111">
        <f t="shared" si="0"/>
        <v>15103.1572955752</v>
      </c>
      <c r="M32" s="111">
        <f t="shared" si="1"/>
        <v>7820</v>
      </c>
      <c r="N32" s="111">
        <f t="shared" si="2"/>
        <v>4300</v>
      </c>
      <c r="O32" s="112"/>
      <c r="P32" s="116" t="s">
        <v>69</v>
      </c>
      <c r="U32" s="111">
        <v>7551.57864778761</v>
      </c>
      <c r="V32" s="99">
        <f t="shared" si="3"/>
        <v>0</v>
      </c>
      <c r="W32" s="99">
        <f t="shared" si="4"/>
        <v>3641.57864778761</v>
      </c>
    </row>
    <row r="33" ht="22" customHeight="1" spans="1:23">
      <c r="A33" s="108">
        <v>29</v>
      </c>
      <c r="B33" s="108">
        <v>1.4</v>
      </c>
      <c r="C33" s="143" t="s">
        <v>146</v>
      </c>
      <c r="D33" s="144"/>
      <c r="E33" s="108"/>
      <c r="F33" s="108"/>
      <c r="G33" s="110"/>
      <c r="H33" s="110"/>
      <c r="I33" s="111">
        <v>0</v>
      </c>
      <c r="J33" s="111">
        <v>0</v>
      </c>
      <c r="K33" s="111">
        <v>0</v>
      </c>
      <c r="L33" s="111">
        <f t="shared" si="0"/>
        <v>0</v>
      </c>
      <c r="M33" s="111">
        <f t="shared" si="1"/>
        <v>0</v>
      </c>
      <c r="N33" s="111">
        <f t="shared" si="2"/>
        <v>0</v>
      </c>
      <c r="O33" s="112"/>
      <c r="P33" s="116"/>
      <c r="U33" s="111">
        <v>0</v>
      </c>
      <c r="V33" s="99">
        <f t="shared" si="3"/>
        <v>0</v>
      </c>
      <c r="W33" s="99">
        <f t="shared" si="4"/>
        <v>0</v>
      </c>
    </row>
    <row r="34" ht="64" customHeight="1" spans="1:23">
      <c r="A34" s="108">
        <v>30</v>
      </c>
      <c r="B34" s="108" t="s">
        <v>147</v>
      </c>
      <c r="C34" s="115" t="s">
        <v>148</v>
      </c>
      <c r="D34" s="115" t="s">
        <v>63</v>
      </c>
      <c r="E34" s="137" t="s">
        <v>64</v>
      </c>
      <c r="F34" s="136">
        <v>14</v>
      </c>
      <c r="G34" s="110"/>
      <c r="H34" s="110"/>
      <c r="I34" s="111">
        <v>7551.57864778761</v>
      </c>
      <c r="J34" s="111">
        <v>3910</v>
      </c>
      <c r="K34" s="111">
        <v>2150</v>
      </c>
      <c r="L34" s="111">
        <f t="shared" si="0"/>
        <v>105722.101069027</v>
      </c>
      <c r="M34" s="111">
        <f t="shared" si="1"/>
        <v>54740</v>
      </c>
      <c r="N34" s="111">
        <f t="shared" si="2"/>
        <v>30100</v>
      </c>
      <c r="O34" s="112"/>
      <c r="P34" s="116" t="s">
        <v>69</v>
      </c>
      <c r="U34" s="111">
        <v>7551.57864778761</v>
      </c>
      <c r="V34" s="99">
        <f t="shared" si="3"/>
        <v>0</v>
      </c>
      <c r="W34" s="99">
        <f t="shared" si="4"/>
        <v>3641.57864778761</v>
      </c>
    </row>
    <row r="35" ht="58" customHeight="1" spans="1:23">
      <c r="A35" s="108">
        <v>31</v>
      </c>
      <c r="B35" s="108" t="s">
        <v>149</v>
      </c>
      <c r="C35" s="115" t="s">
        <v>72</v>
      </c>
      <c r="D35" s="115" t="s">
        <v>78</v>
      </c>
      <c r="E35" s="129" t="s">
        <v>74</v>
      </c>
      <c r="F35" s="110">
        <v>60</v>
      </c>
      <c r="G35" s="110"/>
      <c r="H35" s="110"/>
      <c r="I35" s="111">
        <v>127.021847787611</v>
      </c>
      <c r="J35" s="111">
        <v>72</v>
      </c>
      <c r="K35" s="111">
        <v>22</v>
      </c>
      <c r="L35" s="111">
        <f t="shared" si="0"/>
        <v>7621.31086725666</v>
      </c>
      <c r="M35" s="111">
        <f t="shared" si="1"/>
        <v>4320</v>
      </c>
      <c r="N35" s="111">
        <f t="shared" si="2"/>
        <v>1320</v>
      </c>
      <c r="O35" s="112"/>
      <c r="P35" s="116" t="s">
        <v>75</v>
      </c>
      <c r="U35" s="111">
        <v>127.021847787611</v>
      </c>
      <c r="V35" s="99">
        <f t="shared" si="3"/>
        <v>0</v>
      </c>
      <c r="W35" s="99">
        <f t="shared" si="4"/>
        <v>55.021847787611</v>
      </c>
    </row>
    <row r="36" ht="22" customHeight="1" spans="1:23">
      <c r="A36" s="108">
        <v>32</v>
      </c>
      <c r="B36" s="108" t="s">
        <v>150</v>
      </c>
      <c r="C36" s="115" t="s">
        <v>151</v>
      </c>
      <c r="D36" s="115" t="s">
        <v>82</v>
      </c>
      <c r="E36" s="129" t="s">
        <v>74</v>
      </c>
      <c r="F36" s="110">
        <v>30</v>
      </c>
      <c r="G36" s="110"/>
      <c r="H36" s="110"/>
      <c r="I36" s="111">
        <v>115.608679646018</v>
      </c>
      <c r="J36" s="111">
        <v>63.5</v>
      </c>
      <c r="K36" s="111">
        <v>22</v>
      </c>
      <c r="L36" s="111">
        <f t="shared" si="0"/>
        <v>3468.26038938054</v>
      </c>
      <c r="M36" s="111">
        <f t="shared" si="1"/>
        <v>1905</v>
      </c>
      <c r="N36" s="111">
        <f t="shared" si="2"/>
        <v>660</v>
      </c>
      <c r="O36" s="112"/>
      <c r="P36" s="116" t="s">
        <v>79</v>
      </c>
      <c r="U36" s="111">
        <v>115.608679646018</v>
      </c>
      <c r="V36" s="99">
        <f t="shared" si="3"/>
        <v>0</v>
      </c>
      <c r="W36" s="99">
        <f t="shared" si="4"/>
        <v>52.108679646018</v>
      </c>
    </row>
    <row r="37" ht="37" customHeight="1" spans="1:23">
      <c r="A37" s="108">
        <v>33</v>
      </c>
      <c r="B37" s="108" t="s">
        <v>152</v>
      </c>
      <c r="C37" s="115" t="s">
        <v>153</v>
      </c>
      <c r="D37" s="134" t="s">
        <v>154</v>
      </c>
      <c r="E37" s="129" t="s">
        <v>74</v>
      </c>
      <c r="F37" s="110">
        <v>120</v>
      </c>
      <c r="G37" s="110"/>
      <c r="H37" s="110"/>
      <c r="I37" s="111">
        <v>584.197557522124</v>
      </c>
      <c r="J37" s="111">
        <v>330</v>
      </c>
      <c r="K37" s="111">
        <v>120</v>
      </c>
      <c r="L37" s="111">
        <f t="shared" si="0"/>
        <v>70103.7069026549</v>
      </c>
      <c r="M37" s="111">
        <f t="shared" si="1"/>
        <v>39600</v>
      </c>
      <c r="N37" s="111">
        <f t="shared" si="2"/>
        <v>14400</v>
      </c>
      <c r="O37" s="112"/>
      <c r="P37" s="116" t="s">
        <v>155</v>
      </c>
      <c r="U37" s="111">
        <v>584.197557522124</v>
      </c>
      <c r="V37" s="99">
        <f t="shared" si="3"/>
        <v>0</v>
      </c>
      <c r="W37" s="99">
        <f t="shared" si="4"/>
        <v>254.197557522124</v>
      </c>
    </row>
    <row r="38" ht="22" customHeight="1" spans="1:23">
      <c r="A38" s="108">
        <v>34</v>
      </c>
      <c r="B38" s="108">
        <v>1.5</v>
      </c>
      <c r="C38" s="115" t="s">
        <v>156</v>
      </c>
      <c r="D38" s="135"/>
      <c r="E38" s="142"/>
      <c r="F38" s="142"/>
      <c r="G38" s="110"/>
      <c r="H38" s="110"/>
      <c r="I38" s="111">
        <v>0</v>
      </c>
      <c r="J38" s="111">
        <v>0</v>
      </c>
      <c r="K38" s="111">
        <v>0</v>
      </c>
      <c r="L38" s="111">
        <f t="shared" si="0"/>
        <v>0</v>
      </c>
      <c r="M38" s="111">
        <f t="shared" si="1"/>
        <v>0</v>
      </c>
      <c r="N38" s="111">
        <f t="shared" si="2"/>
        <v>0</v>
      </c>
      <c r="O38" s="112"/>
      <c r="P38" s="116"/>
      <c r="U38" s="111">
        <v>0</v>
      </c>
      <c r="V38" s="99">
        <f t="shared" si="3"/>
        <v>0</v>
      </c>
      <c r="W38" s="99">
        <f t="shared" si="4"/>
        <v>0</v>
      </c>
    </row>
    <row r="39" ht="253" customHeight="1" spans="1:23">
      <c r="A39" s="108">
        <v>35</v>
      </c>
      <c r="B39" s="108" t="s">
        <v>157</v>
      </c>
      <c r="C39" s="143" t="s">
        <v>158</v>
      </c>
      <c r="D39" s="144" t="s">
        <v>159</v>
      </c>
      <c r="E39" s="129" t="s">
        <v>74</v>
      </c>
      <c r="F39" s="110">
        <v>47.25</v>
      </c>
      <c r="G39" s="110"/>
      <c r="H39" s="110"/>
      <c r="I39" s="111">
        <v>2640.02244247788</v>
      </c>
      <c r="J39" s="111">
        <v>800</v>
      </c>
      <c r="K39" s="111">
        <v>680</v>
      </c>
      <c r="L39" s="111">
        <f t="shared" si="0"/>
        <v>124741.06040708</v>
      </c>
      <c r="M39" s="111">
        <f t="shared" si="1"/>
        <v>37800</v>
      </c>
      <c r="N39" s="111">
        <f t="shared" si="2"/>
        <v>32130</v>
      </c>
      <c r="O39" s="112"/>
      <c r="P39" s="116" t="s">
        <v>160</v>
      </c>
      <c r="U39" s="111">
        <v>2640.02244247788</v>
      </c>
      <c r="V39" s="99">
        <f t="shared" si="3"/>
        <v>0</v>
      </c>
      <c r="W39" s="99">
        <f t="shared" si="4"/>
        <v>1840.02244247788</v>
      </c>
    </row>
    <row r="40" ht="22" customHeight="1" spans="1:23">
      <c r="A40" s="108">
        <v>36</v>
      </c>
      <c r="B40" s="108" t="s">
        <v>161</v>
      </c>
      <c r="C40" s="143" t="s">
        <v>162</v>
      </c>
      <c r="D40" s="144" t="s">
        <v>159</v>
      </c>
      <c r="E40" s="129" t="s">
        <v>74</v>
      </c>
      <c r="F40" s="110">
        <v>63</v>
      </c>
      <c r="G40" s="110"/>
      <c r="H40" s="110"/>
      <c r="I40" s="111">
        <v>2892.90244247788</v>
      </c>
      <c r="J40" s="111">
        <v>800</v>
      </c>
      <c r="K40" s="111">
        <v>680</v>
      </c>
      <c r="L40" s="111">
        <f t="shared" si="0"/>
        <v>182252.853876106</v>
      </c>
      <c r="M40" s="111">
        <f t="shared" si="1"/>
        <v>50400</v>
      </c>
      <c r="N40" s="111">
        <f t="shared" si="2"/>
        <v>42840</v>
      </c>
      <c r="O40" s="112"/>
      <c r="P40" s="116" t="s">
        <v>79</v>
      </c>
      <c r="U40" s="111">
        <v>2892.90244247788</v>
      </c>
      <c r="V40" s="99">
        <f t="shared" si="3"/>
        <v>0</v>
      </c>
      <c r="W40" s="99">
        <f t="shared" si="4"/>
        <v>2092.90244247788</v>
      </c>
    </row>
    <row r="41" ht="22" customHeight="1" spans="1:23">
      <c r="A41" s="108">
        <v>37</v>
      </c>
      <c r="B41" s="108" t="s">
        <v>163</v>
      </c>
      <c r="C41" s="143" t="s">
        <v>164</v>
      </c>
      <c r="D41" s="144" t="s">
        <v>159</v>
      </c>
      <c r="E41" s="129" t="s">
        <v>74</v>
      </c>
      <c r="F41" s="110">
        <v>126</v>
      </c>
      <c r="G41" s="110"/>
      <c r="H41" s="110"/>
      <c r="I41" s="111">
        <v>3019.34244247788</v>
      </c>
      <c r="J41" s="111">
        <v>800</v>
      </c>
      <c r="K41" s="111">
        <v>680</v>
      </c>
      <c r="L41" s="111">
        <f t="shared" si="0"/>
        <v>380437.147752213</v>
      </c>
      <c r="M41" s="111">
        <f t="shared" si="1"/>
        <v>100800</v>
      </c>
      <c r="N41" s="111">
        <f t="shared" si="2"/>
        <v>85680</v>
      </c>
      <c r="O41" s="112"/>
      <c r="P41" s="116" t="s">
        <v>79</v>
      </c>
      <c r="U41" s="111">
        <v>3019.34244247788</v>
      </c>
      <c r="V41" s="99">
        <f t="shared" si="3"/>
        <v>0</v>
      </c>
      <c r="W41" s="99">
        <f t="shared" si="4"/>
        <v>2219.34244247788</v>
      </c>
    </row>
    <row r="42" ht="22" customHeight="1" spans="1:23">
      <c r="A42" s="108">
        <v>38</v>
      </c>
      <c r="B42" s="108" t="s">
        <v>165</v>
      </c>
      <c r="C42" s="143" t="s">
        <v>166</v>
      </c>
      <c r="D42" s="144" t="s">
        <v>159</v>
      </c>
      <c r="E42" s="129" t="s">
        <v>74</v>
      </c>
      <c r="F42" s="110">
        <v>28.35</v>
      </c>
      <c r="G42" s="110"/>
      <c r="H42" s="110"/>
      <c r="I42" s="111">
        <v>2387.14244247788</v>
      </c>
      <c r="J42" s="111">
        <v>800</v>
      </c>
      <c r="K42" s="111">
        <v>580</v>
      </c>
      <c r="L42" s="111">
        <f t="shared" si="0"/>
        <v>67675.4882442479</v>
      </c>
      <c r="M42" s="111">
        <f t="shared" si="1"/>
        <v>22680</v>
      </c>
      <c r="N42" s="111">
        <f t="shared" si="2"/>
        <v>16443</v>
      </c>
      <c r="O42" s="112"/>
      <c r="P42" s="116" t="s">
        <v>79</v>
      </c>
      <c r="U42" s="111">
        <v>2387.14244247788</v>
      </c>
      <c r="V42" s="99">
        <f t="shared" si="3"/>
        <v>0</v>
      </c>
      <c r="W42" s="99">
        <f t="shared" si="4"/>
        <v>1587.14244247788</v>
      </c>
    </row>
    <row r="43" ht="22" customHeight="1" spans="1:23">
      <c r="A43" s="108">
        <v>39</v>
      </c>
      <c r="B43" s="108">
        <v>1.6</v>
      </c>
      <c r="C43" s="143" t="s">
        <v>167</v>
      </c>
      <c r="D43" s="115"/>
      <c r="E43" s="108"/>
      <c r="F43" s="108"/>
      <c r="G43" s="110"/>
      <c r="H43" s="110"/>
      <c r="I43" s="111">
        <v>0</v>
      </c>
      <c r="J43" s="111">
        <v>0</v>
      </c>
      <c r="K43" s="111">
        <v>0</v>
      </c>
      <c r="L43" s="111">
        <f t="shared" si="0"/>
        <v>0</v>
      </c>
      <c r="M43" s="111">
        <f t="shared" si="1"/>
        <v>0</v>
      </c>
      <c r="N43" s="111">
        <f t="shared" si="2"/>
        <v>0</v>
      </c>
      <c r="O43" s="112"/>
      <c r="P43" s="116"/>
      <c r="U43" s="111">
        <v>0</v>
      </c>
      <c r="V43" s="99">
        <f t="shared" si="3"/>
        <v>0</v>
      </c>
      <c r="W43" s="99">
        <f t="shared" si="4"/>
        <v>0</v>
      </c>
    </row>
    <row r="44" ht="71" customHeight="1" spans="1:23">
      <c r="A44" s="108">
        <v>40</v>
      </c>
      <c r="B44" s="108" t="s">
        <v>168</v>
      </c>
      <c r="C44" s="143" t="s">
        <v>169</v>
      </c>
      <c r="D44" s="115" t="s">
        <v>170</v>
      </c>
      <c r="E44" s="129" t="s">
        <v>74</v>
      </c>
      <c r="F44" s="110">
        <v>270</v>
      </c>
      <c r="G44" s="110"/>
      <c r="H44" s="110"/>
      <c r="I44" s="111">
        <v>56.898</v>
      </c>
      <c r="J44" s="111">
        <v>15</v>
      </c>
      <c r="K44" s="111">
        <v>30</v>
      </c>
      <c r="L44" s="111">
        <f t="shared" si="0"/>
        <v>15362.46</v>
      </c>
      <c r="M44" s="111">
        <f t="shared" si="1"/>
        <v>4050</v>
      </c>
      <c r="N44" s="111">
        <f t="shared" si="2"/>
        <v>8100</v>
      </c>
      <c r="O44" s="112"/>
      <c r="P44" s="116" t="s">
        <v>171</v>
      </c>
      <c r="U44" s="111">
        <v>56.898</v>
      </c>
      <c r="V44" s="99">
        <f t="shared" si="3"/>
        <v>0</v>
      </c>
      <c r="W44" s="99">
        <f t="shared" si="4"/>
        <v>41.898</v>
      </c>
    </row>
    <row r="45" ht="51" customHeight="1" spans="1:23">
      <c r="A45" s="108">
        <v>41</v>
      </c>
      <c r="B45" s="108" t="s">
        <v>172</v>
      </c>
      <c r="C45" s="143" t="s">
        <v>173</v>
      </c>
      <c r="D45" s="115" t="s">
        <v>174</v>
      </c>
      <c r="E45" s="129" t="s">
        <v>74</v>
      </c>
      <c r="F45" s="110">
        <v>216</v>
      </c>
      <c r="G45" s="110"/>
      <c r="H45" s="110"/>
      <c r="I45" s="111">
        <v>25.288</v>
      </c>
      <c r="J45" s="111">
        <v>10</v>
      </c>
      <c r="K45" s="111">
        <v>10</v>
      </c>
      <c r="L45" s="111">
        <f t="shared" si="0"/>
        <v>5462.208</v>
      </c>
      <c r="M45" s="111">
        <f t="shared" si="1"/>
        <v>2160</v>
      </c>
      <c r="N45" s="111">
        <f t="shared" si="2"/>
        <v>2160</v>
      </c>
      <c r="O45" s="112"/>
      <c r="P45" s="116" t="s">
        <v>79</v>
      </c>
      <c r="U45" s="111">
        <v>25.288</v>
      </c>
      <c r="V45" s="99">
        <f t="shared" si="3"/>
        <v>0</v>
      </c>
      <c r="W45" s="99">
        <f t="shared" si="4"/>
        <v>15.288</v>
      </c>
    </row>
    <row r="46" ht="33" customHeight="1" spans="1:23">
      <c r="A46" s="108">
        <v>42</v>
      </c>
      <c r="B46" s="108" t="s">
        <v>175</v>
      </c>
      <c r="C46" s="145" t="s">
        <v>176</v>
      </c>
      <c r="D46" s="115"/>
      <c r="E46" s="129" t="s">
        <v>74</v>
      </c>
      <c r="F46" s="110">
        <v>30</v>
      </c>
      <c r="G46" s="110"/>
      <c r="H46" s="110"/>
      <c r="I46" s="111">
        <v>261.719610619469</v>
      </c>
      <c r="J46" s="111">
        <v>200</v>
      </c>
      <c r="K46" s="111">
        <v>30</v>
      </c>
      <c r="L46" s="111">
        <f t="shared" si="0"/>
        <v>7851.58831858407</v>
      </c>
      <c r="M46" s="111">
        <f t="shared" si="1"/>
        <v>6000</v>
      </c>
      <c r="N46" s="111">
        <f t="shared" si="2"/>
        <v>900</v>
      </c>
      <c r="O46" s="112"/>
      <c r="P46" s="116" t="s">
        <v>98</v>
      </c>
      <c r="U46" s="111">
        <v>261.719610619469</v>
      </c>
      <c r="V46" s="99">
        <f t="shared" si="3"/>
        <v>0</v>
      </c>
      <c r="W46" s="99">
        <f t="shared" si="4"/>
        <v>61.719610619469</v>
      </c>
    </row>
    <row r="47" ht="22" customHeight="1" spans="1:23">
      <c r="A47" s="108">
        <v>43</v>
      </c>
      <c r="B47" s="108">
        <v>1.7</v>
      </c>
      <c r="C47" s="141" t="s">
        <v>177</v>
      </c>
      <c r="D47" s="135"/>
      <c r="E47" s="142"/>
      <c r="F47" s="142"/>
      <c r="G47" s="110"/>
      <c r="H47" s="110"/>
      <c r="I47" s="111">
        <v>0</v>
      </c>
      <c r="J47" s="111">
        <v>0</v>
      </c>
      <c r="K47" s="111">
        <v>0</v>
      </c>
      <c r="L47" s="111">
        <f t="shared" si="0"/>
        <v>0</v>
      </c>
      <c r="M47" s="111">
        <f t="shared" si="1"/>
        <v>0</v>
      </c>
      <c r="N47" s="111">
        <f t="shared" si="2"/>
        <v>0</v>
      </c>
      <c r="O47" s="112"/>
      <c r="P47" s="116"/>
      <c r="U47" s="111">
        <v>0</v>
      </c>
      <c r="V47" s="99">
        <f t="shared" si="3"/>
        <v>0</v>
      </c>
      <c r="W47" s="99">
        <f t="shared" si="4"/>
        <v>0</v>
      </c>
    </row>
    <row r="48" ht="107" customHeight="1" spans="1:23">
      <c r="A48" s="108">
        <v>44</v>
      </c>
      <c r="B48" s="108" t="s">
        <v>178</v>
      </c>
      <c r="C48" s="135" t="s">
        <v>179</v>
      </c>
      <c r="D48" s="135" t="s">
        <v>115</v>
      </c>
      <c r="E48" s="117" t="s">
        <v>59</v>
      </c>
      <c r="F48" s="136">
        <v>230</v>
      </c>
      <c r="G48" s="110"/>
      <c r="H48" s="110"/>
      <c r="I48" s="111">
        <v>1030.25472571835</v>
      </c>
      <c r="J48" s="111">
        <v>260</v>
      </c>
      <c r="K48" s="111">
        <v>192.5</v>
      </c>
      <c r="L48" s="111">
        <f t="shared" si="0"/>
        <v>236958.586915221</v>
      </c>
      <c r="M48" s="111">
        <f t="shared" si="1"/>
        <v>59800</v>
      </c>
      <c r="N48" s="111">
        <f t="shared" si="2"/>
        <v>44275</v>
      </c>
      <c r="O48" s="112"/>
      <c r="P48" s="116" t="s">
        <v>180</v>
      </c>
      <c r="U48" s="111">
        <v>1030.25472571835</v>
      </c>
      <c r="V48" s="99">
        <f t="shared" si="3"/>
        <v>0</v>
      </c>
      <c r="W48" s="99">
        <f t="shared" si="4"/>
        <v>770.25472571835</v>
      </c>
    </row>
    <row r="49" ht="96" customHeight="1" spans="1:23">
      <c r="A49" s="108">
        <v>45</v>
      </c>
      <c r="B49" s="108" t="s">
        <v>181</v>
      </c>
      <c r="C49" s="141" t="s">
        <v>182</v>
      </c>
      <c r="D49" s="135" t="s">
        <v>115</v>
      </c>
      <c r="E49" s="117" t="s">
        <v>59</v>
      </c>
      <c r="F49" s="136">
        <v>90</v>
      </c>
      <c r="G49" s="110"/>
      <c r="H49" s="110"/>
      <c r="I49" s="130">
        <v>804.60255180531</v>
      </c>
      <c r="J49" s="111">
        <v>260</v>
      </c>
      <c r="K49" s="111">
        <v>192.5</v>
      </c>
      <c r="L49" s="111">
        <f t="shared" si="0"/>
        <v>72414.2296624779</v>
      </c>
      <c r="M49" s="111">
        <f t="shared" si="1"/>
        <v>23400</v>
      </c>
      <c r="N49" s="111">
        <f t="shared" si="2"/>
        <v>17325</v>
      </c>
      <c r="O49" s="112"/>
      <c r="P49" s="116" t="s">
        <v>60</v>
      </c>
      <c r="U49" s="111">
        <v>784.60255180531</v>
      </c>
      <c r="V49" s="99">
        <f t="shared" si="3"/>
        <v>20</v>
      </c>
      <c r="W49" s="99">
        <f t="shared" si="4"/>
        <v>544.60255180531</v>
      </c>
    </row>
    <row r="50" ht="22" customHeight="1" spans="1:23">
      <c r="A50" s="108">
        <v>46</v>
      </c>
      <c r="B50" s="108" t="s">
        <v>183</v>
      </c>
      <c r="C50" s="115" t="s">
        <v>184</v>
      </c>
      <c r="D50" s="135" t="s">
        <v>115</v>
      </c>
      <c r="E50" s="117" t="s">
        <v>59</v>
      </c>
      <c r="F50" s="136">
        <v>140</v>
      </c>
      <c r="G50" s="110"/>
      <c r="H50" s="110"/>
      <c r="I50" s="111">
        <v>784.60255180531</v>
      </c>
      <c r="J50" s="111">
        <v>260</v>
      </c>
      <c r="K50" s="111">
        <v>192.5</v>
      </c>
      <c r="L50" s="111">
        <f t="shared" si="0"/>
        <v>109844.357252743</v>
      </c>
      <c r="M50" s="111">
        <f t="shared" si="1"/>
        <v>36400</v>
      </c>
      <c r="N50" s="111">
        <f t="shared" si="2"/>
        <v>26950</v>
      </c>
      <c r="O50" s="112"/>
      <c r="P50" s="116" t="s">
        <v>79</v>
      </c>
      <c r="U50" s="111">
        <v>784.60255180531</v>
      </c>
      <c r="V50" s="99">
        <f t="shared" si="3"/>
        <v>0</v>
      </c>
      <c r="W50" s="99">
        <f t="shared" si="4"/>
        <v>524.60255180531</v>
      </c>
    </row>
    <row r="51" ht="22" customHeight="1" spans="1:23">
      <c r="A51" s="108">
        <v>47</v>
      </c>
      <c r="B51" s="108" t="s">
        <v>185</v>
      </c>
      <c r="C51" s="115" t="s">
        <v>186</v>
      </c>
      <c r="D51" s="135" t="s">
        <v>115</v>
      </c>
      <c r="E51" s="117" t="s">
        <v>59</v>
      </c>
      <c r="F51" s="136">
        <v>50</v>
      </c>
      <c r="G51" s="110"/>
      <c r="H51" s="110"/>
      <c r="I51" s="111">
        <v>901.55955180531</v>
      </c>
      <c r="J51" s="111">
        <v>260</v>
      </c>
      <c r="K51" s="111">
        <v>235</v>
      </c>
      <c r="L51" s="111">
        <f t="shared" si="0"/>
        <v>45077.9775902655</v>
      </c>
      <c r="M51" s="111">
        <f t="shared" si="1"/>
        <v>13000</v>
      </c>
      <c r="N51" s="111">
        <f t="shared" si="2"/>
        <v>11750</v>
      </c>
      <c r="O51" s="112"/>
      <c r="P51" s="116" t="s">
        <v>79</v>
      </c>
      <c r="U51" s="111">
        <v>901.55955180531</v>
      </c>
      <c r="V51" s="99">
        <f t="shared" si="3"/>
        <v>0</v>
      </c>
      <c r="W51" s="99">
        <f t="shared" si="4"/>
        <v>641.55955180531</v>
      </c>
    </row>
    <row r="52" ht="22" customHeight="1" spans="1:23">
      <c r="A52" s="108">
        <v>48</v>
      </c>
      <c r="B52" s="108" t="s">
        <v>187</v>
      </c>
      <c r="C52" s="138" t="s">
        <v>188</v>
      </c>
      <c r="D52" s="135" t="s">
        <v>115</v>
      </c>
      <c r="E52" s="117" t="s">
        <v>59</v>
      </c>
      <c r="F52" s="136">
        <v>25</v>
      </c>
      <c r="G52" s="110"/>
      <c r="H52" s="110"/>
      <c r="I52" s="111">
        <v>980.97019380531</v>
      </c>
      <c r="J52" s="111">
        <v>260</v>
      </c>
      <c r="K52" s="111">
        <v>335</v>
      </c>
      <c r="L52" s="111">
        <f t="shared" si="0"/>
        <v>24524.2548451327</v>
      </c>
      <c r="M52" s="111">
        <f t="shared" si="1"/>
        <v>6500</v>
      </c>
      <c r="N52" s="111">
        <f t="shared" si="2"/>
        <v>8375</v>
      </c>
      <c r="O52" s="112"/>
      <c r="P52" s="116" t="s">
        <v>79</v>
      </c>
      <c r="U52" s="111">
        <v>980.97019380531</v>
      </c>
      <c r="V52" s="99">
        <f t="shared" si="3"/>
        <v>0</v>
      </c>
      <c r="W52" s="99">
        <f t="shared" si="4"/>
        <v>720.97019380531</v>
      </c>
    </row>
    <row r="53" ht="22" customHeight="1" spans="1:23">
      <c r="A53" s="108">
        <v>49</v>
      </c>
      <c r="B53" s="108" t="s">
        <v>189</v>
      </c>
      <c r="C53" s="138" t="s">
        <v>190</v>
      </c>
      <c r="D53" s="135" t="s">
        <v>115</v>
      </c>
      <c r="E53" s="117" t="s">
        <v>59</v>
      </c>
      <c r="F53" s="136">
        <v>300</v>
      </c>
      <c r="G53" s="110"/>
      <c r="H53" s="110"/>
      <c r="I53" s="111">
        <v>901.55955180531</v>
      </c>
      <c r="J53" s="111">
        <v>260</v>
      </c>
      <c r="K53" s="111">
        <v>235</v>
      </c>
      <c r="L53" s="111">
        <f t="shared" si="0"/>
        <v>270467.865541593</v>
      </c>
      <c r="M53" s="111">
        <f t="shared" si="1"/>
        <v>78000</v>
      </c>
      <c r="N53" s="111">
        <f t="shared" si="2"/>
        <v>70500</v>
      </c>
      <c r="O53" s="112"/>
      <c r="P53" s="116" t="s">
        <v>79</v>
      </c>
      <c r="U53" s="111">
        <v>901.55955180531</v>
      </c>
      <c r="V53" s="99">
        <f t="shared" si="3"/>
        <v>0</v>
      </c>
      <c r="W53" s="99">
        <f t="shared" si="4"/>
        <v>641.55955180531</v>
      </c>
    </row>
    <row r="54" ht="22" customHeight="1" spans="1:23">
      <c r="A54" s="108">
        <v>50</v>
      </c>
      <c r="B54" s="108" t="s">
        <v>191</v>
      </c>
      <c r="C54" s="138" t="s">
        <v>192</v>
      </c>
      <c r="D54" s="135" t="s">
        <v>193</v>
      </c>
      <c r="E54" s="117" t="s">
        <v>59</v>
      </c>
      <c r="F54" s="136">
        <v>45</v>
      </c>
      <c r="G54" s="110"/>
      <c r="H54" s="110"/>
      <c r="I54" s="111">
        <v>947.834353929204</v>
      </c>
      <c r="J54" s="111">
        <v>300</v>
      </c>
      <c r="K54" s="111">
        <v>235</v>
      </c>
      <c r="L54" s="111">
        <f t="shared" si="0"/>
        <v>42652.5459268142</v>
      </c>
      <c r="M54" s="111">
        <f t="shared" si="1"/>
        <v>13500</v>
      </c>
      <c r="N54" s="111">
        <f t="shared" si="2"/>
        <v>10575</v>
      </c>
      <c r="O54" s="112"/>
      <c r="P54" s="116" t="s">
        <v>79</v>
      </c>
      <c r="U54" s="111">
        <v>947.834353929204</v>
      </c>
      <c r="V54" s="99">
        <f t="shared" si="3"/>
        <v>0</v>
      </c>
      <c r="W54" s="99">
        <f t="shared" si="4"/>
        <v>647.834353929204</v>
      </c>
    </row>
    <row r="55" ht="41" customHeight="1" spans="1:23">
      <c r="A55" s="108">
        <v>51</v>
      </c>
      <c r="B55" s="108" t="s">
        <v>194</v>
      </c>
      <c r="C55" s="146" t="s">
        <v>120</v>
      </c>
      <c r="D55" s="115" t="s">
        <v>63</v>
      </c>
      <c r="E55" s="137" t="s">
        <v>64</v>
      </c>
      <c r="F55" s="136">
        <v>85</v>
      </c>
      <c r="G55" s="110"/>
      <c r="H55" s="110"/>
      <c r="I55" s="124">
        <v>5161</v>
      </c>
      <c r="J55" s="124">
        <v>3250</v>
      </c>
      <c r="K55" s="124">
        <v>850</v>
      </c>
      <c r="L55" s="111">
        <f t="shared" si="0"/>
        <v>438685</v>
      </c>
      <c r="M55" s="111">
        <f t="shared" si="1"/>
        <v>276250</v>
      </c>
      <c r="N55" s="111">
        <f t="shared" si="2"/>
        <v>72250</v>
      </c>
      <c r="O55" s="112"/>
      <c r="P55" s="116" t="s">
        <v>65</v>
      </c>
      <c r="U55" s="111">
        <v>5361.39168141593</v>
      </c>
      <c r="V55" s="99">
        <f t="shared" si="3"/>
        <v>-200.39168141593</v>
      </c>
      <c r="W55" s="99">
        <f t="shared" si="4"/>
        <v>1911</v>
      </c>
    </row>
    <row r="56" ht="66" customHeight="1" spans="1:23">
      <c r="A56" s="108">
        <v>52</v>
      </c>
      <c r="B56" s="108" t="s">
        <v>195</v>
      </c>
      <c r="C56" s="138" t="s">
        <v>196</v>
      </c>
      <c r="D56" s="115" t="s">
        <v>63</v>
      </c>
      <c r="E56" s="137" t="s">
        <v>64</v>
      </c>
      <c r="F56" s="136">
        <v>50</v>
      </c>
      <c r="G56" s="110"/>
      <c r="H56" s="110"/>
      <c r="I56" s="124">
        <v>7251.57864778761</v>
      </c>
      <c r="J56" s="124">
        <v>3510</v>
      </c>
      <c r="K56" s="111">
        <v>2150</v>
      </c>
      <c r="L56" s="111">
        <f t="shared" si="0"/>
        <v>362578.932389381</v>
      </c>
      <c r="M56" s="111">
        <f t="shared" si="1"/>
        <v>175500</v>
      </c>
      <c r="N56" s="111">
        <f t="shared" si="2"/>
        <v>107500</v>
      </c>
      <c r="O56" s="112"/>
      <c r="P56" s="116" t="s">
        <v>69</v>
      </c>
      <c r="U56" s="111">
        <v>7551.57864778761</v>
      </c>
      <c r="V56" s="99">
        <f t="shared" si="3"/>
        <v>-300</v>
      </c>
      <c r="W56" s="99">
        <f t="shared" si="4"/>
        <v>3741.57864778761</v>
      </c>
    </row>
    <row r="57" ht="30" customHeight="1" spans="1:23">
      <c r="A57" s="108">
        <v>53</v>
      </c>
      <c r="B57" s="108" t="s">
        <v>197</v>
      </c>
      <c r="C57" s="115" t="s">
        <v>198</v>
      </c>
      <c r="D57" s="115" t="s">
        <v>63</v>
      </c>
      <c r="E57" s="137" t="s">
        <v>64</v>
      </c>
      <c r="F57" s="136">
        <v>64</v>
      </c>
      <c r="G57" s="110"/>
      <c r="H57" s="110"/>
      <c r="I57" s="111">
        <v>7694.0194619469</v>
      </c>
      <c r="J57" s="111">
        <v>3911</v>
      </c>
      <c r="K57" s="111">
        <v>2151</v>
      </c>
      <c r="L57" s="111">
        <f t="shared" si="0"/>
        <v>492417.245564602</v>
      </c>
      <c r="M57" s="111">
        <f t="shared" si="1"/>
        <v>250304</v>
      </c>
      <c r="N57" s="111">
        <f t="shared" si="2"/>
        <v>137664</v>
      </c>
      <c r="O57" s="112"/>
      <c r="P57" s="116" t="s">
        <v>79</v>
      </c>
      <c r="U57" s="111">
        <v>7694.0194619469</v>
      </c>
      <c r="V57" s="99">
        <f t="shared" si="3"/>
        <v>0</v>
      </c>
      <c r="W57" s="99">
        <f t="shared" si="4"/>
        <v>3783.0194619469</v>
      </c>
    </row>
    <row r="58" s="98" customFormat="1" ht="63" customHeight="1" spans="1:23">
      <c r="A58" s="119">
        <v>54</v>
      </c>
      <c r="B58" s="119" t="s">
        <v>199</v>
      </c>
      <c r="C58" s="147" t="s">
        <v>92</v>
      </c>
      <c r="D58" s="121"/>
      <c r="E58" s="133" t="s">
        <v>59</v>
      </c>
      <c r="F58" s="123">
        <v>29.36</v>
      </c>
      <c r="G58" s="123"/>
      <c r="H58" s="123"/>
      <c r="I58" s="124">
        <v>1208.7664</v>
      </c>
      <c r="J58" s="124">
        <v>436</v>
      </c>
      <c r="K58" s="124">
        <v>520</v>
      </c>
      <c r="L58" s="124">
        <f t="shared" si="0"/>
        <v>35489.381504</v>
      </c>
      <c r="M58" s="124">
        <f t="shared" si="1"/>
        <v>12800.96</v>
      </c>
      <c r="N58" s="124">
        <f t="shared" si="2"/>
        <v>15267.2</v>
      </c>
      <c r="O58" s="132"/>
      <c r="P58" s="126" t="s">
        <v>94</v>
      </c>
      <c r="Q58" s="98" t="s">
        <v>90</v>
      </c>
      <c r="U58" s="111">
        <v>1208.7664</v>
      </c>
      <c r="V58" s="99">
        <f t="shared" si="3"/>
        <v>0</v>
      </c>
      <c r="W58" s="99">
        <f t="shared" si="4"/>
        <v>772.7664</v>
      </c>
    </row>
    <row r="59" ht="105" customHeight="1" spans="1:23">
      <c r="A59" s="108">
        <v>55</v>
      </c>
      <c r="B59" s="108" t="s">
        <v>200</v>
      </c>
      <c r="C59" s="115" t="s">
        <v>201</v>
      </c>
      <c r="D59" s="135" t="s">
        <v>115</v>
      </c>
      <c r="E59" s="117" t="s">
        <v>59</v>
      </c>
      <c r="F59" s="136">
        <v>15</v>
      </c>
      <c r="G59" s="110"/>
      <c r="H59" s="110"/>
      <c r="I59" s="111">
        <v>784.60255180531</v>
      </c>
      <c r="J59" s="111">
        <v>260</v>
      </c>
      <c r="K59" s="111">
        <v>192.5</v>
      </c>
      <c r="L59" s="111">
        <f t="shared" si="0"/>
        <v>11769.0382770796</v>
      </c>
      <c r="M59" s="111">
        <f t="shared" si="1"/>
        <v>3900</v>
      </c>
      <c r="N59" s="111">
        <f t="shared" si="2"/>
        <v>2887.5</v>
      </c>
      <c r="O59" s="112"/>
      <c r="P59" s="116" t="s">
        <v>60</v>
      </c>
      <c r="U59" s="111">
        <v>784.60255180531</v>
      </c>
      <c r="V59" s="99">
        <f t="shared" si="3"/>
        <v>0</v>
      </c>
      <c r="W59" s="99">
        <f t="shared" si="4"/>
        <v>524.60255180531</v>
      </c>
    </row>
    <row r="60" ht="47" customHeight="1" spans="1:23">
      <c r="A60" s="108">
        <v>56</v>
      </c>
      <c r="B60" s="108" t="s">
        <v>202</v>
      </c>
      <c r="C60" s="134" t="s">
        <v>203</v>
      </c>
      <c r="D60" s="115" t="s">
        <v>63</v>
      </c>
      <c r="E60" s="137" t="s">
        <v>64</v>
      </c>
      <c r="F60" s="136">
        <v>1.12</v>
      </c>
      <c r="G60" s="110"/>
      <c r="H60" s="110"/>
      <c r="I60" s="124">
        <v>5161</v>
      </c>
      <c r="J60" s="124">
        <v>3250</v>
      </c>
      <c r="K60" s="124">
        <v>850</v>
      </c>
      <c r="L60" s="111">
        <f t="shared" si="0"/>
        <v>5780.32</v>
      </c>
      <c r="M60" s="111">
        <f t="shared" si="1"/>
        <v>3640</v>
      </c>
      <c r="N60" s="111">
        <f t="shared" si="2"/>
        <v>952</v>
      </c>
      <c r="O60" s="112"/>
      <c r="P60" s="116" t="s">
        <v>65</v>
      </c>
      <c r="U60" s="111">
        <v>5361.39168141593</v>
      </c>
      <c r="V60" s="99">
        <f t="shared" si="3"/>
        <v>-200.39168141593</v>
      </c>
      <c r="W60" s="99">
        <f t="shared" si="4"/>
        <v>1911</v>
      </c>
    </row>
    <row r="61" s="98" customFormat="1" ht="62" customHeight="1" spans="1:23">
      <c r="A61" s="119">
        <v>57</v>
      </c>
      <c r="B61" s="119" t="s">
        <v>204</v>
      </c>
      <c r="C61" s="147" t="s">
        <v>205</v>
      </c>
      <c r="D61" s="121"/>
      <c r="E61" s="131" t="s">
        <v>74</v>
      </c>
      <c r="F61" s="123">
        <v>4</v>
      </c>
      <c r="G61" s="123"/>
      <c r="H61" s="123"/>
      <c r="I61" s="124">
        <v>290.103936</v>
      </c>
      <c r="J61" s="124">
        <v>105</v>
      </c>
      <c r="K61" s="124">
        <v>124.8</v>
      </c>
      <c r="L61" s="124">
        <f t="shared" si="0"/>
        <v>1160.415744</v>
      </c>
      <c r="M61" s="124">
        <f t="shared" si="1"/>
        <v>420</v>
      </c>
      <c r="N61" s="124">
        <f t="shared" si="2"/>
        <v>499.2</v>
      </c>
      <c r="O61" s="132"/>
      <c r="P61" s="126" t="s">
        <v>94</v>
      </c>
      <c r="Q61" s="98" t="s">
        <v>90</v>
      </c>
      <c r="U61" s="111">
        <v>290.103936</v>
      </c>
      <c r="V61" s="99">
        <f t="shared" si="3"/>
        <v>0</v>
      </c>
      <c r="W61" s="99">
        <f t="shared" si="4"/>
        <v>185.103936</v>
      </c>
    </row>
    <row r="62" ht="38" customHeight="1" spans="1:23">
      <c r="A62" s="108">
        <v>58</v>
      </c>
      <c r="B62" s="108" t="s">
        <v>206</v>
      </c>
      <c r="C62" s="143" t="s">
        <v>207</v>
      </c>
      <c r="D62" s="115"/>
      <c r="E62" s="129" t="s">
        <v>74</v>
      </c>
      <c r="F62" s="110">
        <v>4</v>
      </c>
      <c r="G62" s="110"/>
      <c r="H62" s="110"/>
      <c r="I62" s="111">
        <v>196.055849911504</v>
      </c>
      <c r="J62" s="111">
        <v>126.4</v>
      </c>
      <c r="K62" s="111">
        <v>38.4</v>
      </c>
      <c r="L62" s="111">
        <f t="shared" si="0"/>
        <v>784.223399646016</v>
      </c>
      <c r="M62" s="111">
        <f t="shared" si="1"/>
        <v>505.6</v>
      </c>
      <c r="N62" s="111">
        <f t="shared" si="2"/>
        <v>153.6</v>
      </c>
      <c r="O62" s="112"/>
      <c r="P62" s="116" t="s">
        <v>208</v>
      </c>
      <c r="U62" s="111">
        <v>196.055849911504</v>
      </c>
      <c r="V62" s="99">
        <f t="shared" si="3"/>
        <v>0</v>
      </c>
      <c r="W62" s="99">
        <f t="shared" si="4"/>
        <v>69.655849911504</v>
      </c>
    </row>
    <row r="63" s="98" customFormat="1" ht="38" customHeight="1" spans="1:23">
      <c r="A63" s="119">
        <v>59</v>
      </c>
      <c r="B63" s="119" t="s">
        <v>209</v>
      </c>
      <c r="C63" s="147" t="s">
        <v>210</v>
      </c>
      <c r="D63" s="121"/>
      <c r="E63" s="131" t="s">
        <v>74</v>
      </c>
      <c r="F63" s="123">
        <v>6</v>
      </c>
      <c r="G63" s="123"/>
      <c r="H63" s="123"/>
      <c r="I63" s="124">
        <v>113.796</v>
      </c>
      <c r="J63" s="124">
        <v>70</v>
      </c>
      <c r="K63" s="124">
        <v>20</v>
      </c>
      <c r="L63" s="124">
        <f t="shared" si="0"/>
        <v>682.776</v>
      </c>
      <c r="M63" s="124">
        <f t="shared" si="1"/>
        <v>420</v>
      </c>
      <c r="N63" s="124">
        <f t="shared" si="2"/>
        <v>120</v>
      </c>
      <c r="O63" s="132"/>
      <c r="P63" s="126" t="s">
        <v>98</v>
      </c>
      <c r="Q63" s="98" t="s">
        <v>90</v>
      </c>
      <c r="U63" s="111">
        <v>113.796</v>
      </c>
      <c r="V63" s="99">
        <f t="shared" si="3"/>
        <v>0</v>
      </c>
      <c r="W63" s="99">
        <f t="shared" si="4"/>
        <v>43.796</v>
      </c>
    </row>
    <row r="64" ht="96" customHeight="1" spans="1:23">
      <c r="A64" s="108">
        <v>60</v>
      </c>
      <c r="B64" s="108" t="s">
        <v>211</v>
      </c>
      <c r="C64" s="115" t="s">
        <v>212</v>
      </c>
      <c r="D64" s="115" t="s">
        <v>213</v>
      </c>
      <c r="E64" s="129" t="s">
        <v>74</v>
      </c>
      <c r="F64" s="110">
        <v>1500</v>
      </c>
      <c r="G64" s="110"/>
      <c r="H64" s="110"/>
      <c r="I64" s="111">
        <v>121.521260212389</v>
      </c>
      <c r="J64" s="111">
        <v>32.25</v>
      </c>
      <c r="K64" s="111">
        <v>25</v>
      </c>
      <c r="L64" s="111">
        <f t="shared" si="0"/>
        <v>182281.890318583</v>
      </c>
      <c r="M64" s="111">
        <f t="shared" si="1"/>
        <v>48375</v>
      </c>
      <c r="N64" s="111">
        <f t="shared" si="2"/>
        <v>37500</v>
      </c>
      <c r="O64" s="112"/>
      <c r="P64" s="116" t="s">
        <v>60</v>
      </c>
      <c r="U64" s="111">
        <v>121.521260212389</v>
      </c>
      <c r="V64" s="99">
        <f t="shared" si="3"/>
        <v>0</v>
      </c>
      <c r="W64" s="99">
        <f t="shared" si="4"/>
        <v>89.271260212389</v>
      </c>
    </row>
    <row r="65" ht="22" customHeight="1" spans="1:23">
      <c r="A65" s="108">
        <v>61</v>
      </c>
      <c r="B65" s="108">
        <v>1.8</v>
      </c>
      <c r="C65" s="115" t="s">
        <v>214</v>
      </c>
      <c r="D65" s="115"/>
      <c r="E65" s="108"/>
      <c r="F65" s="142"/>
      <c r="G65" s="110"/>
      <c r="H65" s="110"/>
      <c r="I65" s="111">
        <v>0</v>
      </c>
      <c r="J65" s="111">
        <v>0</v>
      </c>
      <c r="K65" s="111">
        <v>0</v>
      </c>
      <c r="L65" s="111">
        <f t="shared" si="0"/>
        <v>0</v>
      </c>
      <c r="M65" s="111">
        <f t="shared" si="1"/>
        <v>0</v>
      </c>
      <c r="N65" s="111">
        <f t="shared" si="2"/>
        <v>0</v>
      </c>
      <c r="O65" s="112"/>
      <c r="P65" s="116"/>
      <c r="U65" s="111">
        <v>0</v>
      </c>
      <c r="V65" s="99">
        <f t="shared" si="3"/>
        <v>0</v>
      </c>
      <c r="W65" s="99">
        <f t="shared" si="4"/>
        <v>0</v>
      </c>
    </row>
    <row r="66" ht="97" customHeight="1" spans="1:23">
      <c r="A66" s="108">
        <v>62</v>
      </c>
      <c r="B66" s="108" t="s">
        <v>215</v>
      </c>
      <c r="C66" s="115" t="s">
        <v>216</v>
      </c>
      <c r="D66" s="115" t="s">
        <v>217</v>
      </c>
      <c r="E66" s="117" t="s">
        <v>59</v>
      </c>
      <c r="F66" s="136">
        <v>731</v>
      </c>
      <c r="G66" s="110"/>
      <c r="H66" s="110"/>
      <c r="I66" s="111">
        <v>823.89926460177</v>
      </c>
      <c r="J66" s="111">
        <v>275</v>
      </c>
      <c r="K66" s="111">
        <v>100</v>
      </c>
      <c r="L66" s="111">
        <f t="shared" si="0"/>
        <v>602270.362423894</v>
      </c>
      <c r="M66" s="111">
        <f t="shared" si="1"/>
        <v>201025</v>
      </c>
      <c r="N66" s="111">
        <f t="shared" si="2"/>
        <v>73100</v>
      </c>
      <c r="O66" s="112"/>
      <c r="P66" s="116" t="s">
        <v>218</v>
      </c>
      <c r="U66" s="111">
        <v>823.89926460177</v>
      </c>
      <c r="V66" s="99">
        <f t="shared" si="3"/>
        <v>0</v>
      </c>
      <c r="W66" s="99">
        <f t="shared" si="4"/>
        <v>548.89926460177</v>
      </c>
    </row>
    <row r="67" ht="33" customHeight="1" spans="1:23">
      <c r="A67" s="108">
        <v>63</v>
      </c>
      <c r="B67" s="108" t="s">
        <v>219</v>
      </c>
      <c r="C67" s="115" t="s">
        <v>220</v>
      </c>
      <c r="D67" s="115" t="s">
        <v>63</v>
      </c>
      <c r="E67" s="137" t="s">
        <v>64</v>
      </c>
      <c r="F67" s="136">
        <v>51.2</v>
      </c>
      <c r="G67" s="110"/>
      <c r="H67" s="110"/>
      <c r="I67" s="124">
        <v>5161</v>
      </c>
      <c r="J67" s="124">
        <v>3250</v>
      </c>
      <c r="K67" s="124">
        <v>850</v>
      </c>
      <c r="L67" s="111">
        <f t="shared" si="0"/>
        <v>264243.2</v>
      </c>
      <c r="M67" s="111">
        <f t="shared" si="1"/>
        <v>166400</v>
      </c>
      <c r="N67" s="111">
        <f t="shared" si="2"/>
        <v>43520</v>
      </c>
      <c r="O67" s="112"/>
      <c r="P67" s="116" t="s">
        <v>65</v>
      </c>
      <c r="U67" s="111">
        <v>5361.39168141593</v>
      </c>
      <c r="V67" s="99">
        <f t="shared" si="3"/>
        <v>-200.39168141593</v>
      </c>
      <c r="W67" s="99">
        <f t="shared" si="4"/>
        <v>1911</v>
      </c>
    </row>
    <row r="68" ht="57" customHeight="1" spans="1:23">
      <c r="A68" s="108">
        <v>64</v>
      </c>
      <c r="B68" s="108" t="s">
        <v>221</v>
      </c>
      <c r="C68" s="115" t="s">
        <v>222</v>
      </c>
      <c r="D68" s="115" t="s">
        <v>223</v>
      </c>
      <c r="E68" s="117" t="s">
        <v>59</v>
      </c>
      <c r="F68" s="136">
        <v>210</v>
      </c>
      <c r="G68" s="110"/>
      <c r="H68" s="110"/>
      <c r="I68" s="111">
        <v>193.89574</v>
      </c>
      <c r="J68" s="111">
        <v>103</v>
      </c>
      <c r="K68" s="111">
        <v>10</v>
      </c>
      <c r="L68" s="111">
        <f t="shared" si="0"/>
        <v>40718.1054</v>
      </c>
      <c r="M68" s="111">
        <f t="shared" si="1"/>
        <v>21630</v>
      </c>
      <c r="N68" s="111">
        <f t="shared" si="2"/>
        <v>2100</v>
      </c>
      <c r="O68" s="112"/>
      <c r="P68" s="116" t="s">
        <v>224</v>
      </c>
      <c r="U68" s="111">
        <v>193.89574</v>
      </c>
      <c r="V68" s="99">
        <f t="shared" si="3"/>
        <v>0</v>
      </c>
      <c r="W68" s="99">
        <f t="shared" si="4"/>
        <v>90.89574</v>
      </c>
    </row>
    <row r="69" ht="22" customHeight="1" spans="1:23">
      <c r="A69" s="108">
        <v>65</v>
      </c>
      <c r="B69" s="108">
        <v>2</v>
      </c>
      <c r="C69" s="141" t="s">
        <v>225</v>
      </c>
      <c r="D69" s="135"/>
      <c r="E69" s="108"/>
      <c r="F69" s="148"/>
      <c r="G69" s="110"/>
      <c r="H69" s="110"/>
      <c r="I69" s="111">
        <v>0</v>
      </c>
      <c r="J69" s="111">
        <v>0</v>
      </c>
      <c r="K69" s="111">
        <v>0</v>
      </c>
      <c r="L69" s="111">
        <f>SUM(L70:L111)</f>
        <v>389815.566300885</v>
      </c>
      <c r="M69" s="111">
        <f>SUM(M70:M111)</f>
        <v>88500</v>
      </c>
      <c r="N69" s="111">
        <f>SUM(N70:N111)</f>
        <v>206460</v>
      </c>
      <c r="O69" s="149"/>
      <c r="P69" s="150"/>
      <c r="U69" s="111">
        <v>0</v>
      </c>
      <c r="V69" s="99">
        <f t="shared" si="3"/>
        <v>0</v>
      </c>
      <c r="W69" s="99">
        <f t="shared" si="4"/>
        <v>0</v>
      </c>
    </row>
    <row r="70" ht="22" customHeight="1" spans="1:23">
      <c r="A70" s="108">
        <v>66</v>
      </c>
      <c r="B70" s="108" t="s">
        <v>226</v>
      </c>
      <c r="C70" s="141" t="s">
        <v>227</v>
      </c>
      <c r="D70" s="135"/>
      <c r="E70" s="108"/>
      <c r="F70" s="148"/>
      <c r="G70" s="110"/>
      <c r="H70" s="110"/>
      <c r="I70" s="111">
        <v>0</v>
      </c>
      <c r="J70" s="111">
        <v>0</v>
      </c>
      <c r="K70" s="111">
        <v>0</v>
      </c>
      <c r="L70" s="111">
        <f t="shared" si="0"/>
        <v>0</v>
      </c>
      <c r="M70" s="111">
        <f t="shared" si="1"/>
        <v>0</v>
      </c>
      <c r="N70" s="111">
        <f t="shared" si="2"/>
        <v>0</v>
      </c>
      <c r="O70" s="149"/>
      <c r="P70" s="150"/>
      <c r="U70" s="111">
        <v>0</v>
      </c>
      <c r="V70" s="99">
        <f t="shared" si="3"/>
        <v>0</v>
      </c>
      <c r="W70" s="99">
        <f t="shared" si="4"/>
        <v>0</v>
      </c>
    </row>
    <row r="71" ht="120" customHeight="1" spans="1:23">
      <c r="A71" s="108">
        <v>67</v>
      </c>
      <c r="B71" s="108" t="s">
        <v>228</v>
      </c>
      <c r="C71" s="138" t="s">
        <v>229</v>
      </c>
      <c r="D71" s="115"/>
      <c r="E71" s="108" t="s">
        <v>230</v>
      </c>
      <c r="F71" s="148">
        <v>10</v>
      </c>
      <c r="G71" s="110">
        <v>4</v>
      </c>
      <c r="H71" s="110">
        <v>40</v>
      </c>
      <c r="I71" s="111">
        <v>1133.32</v>
      </c>
      <c r="J71" s="111">
        <v>0</v>
      </c>
      <c r="K71" s="111">
        <v>800</v>
      </c>
      <c r="L71" s="111">
        <f t="shared" ref="L71:L134" si="5">F71*I71</f>
        <v>11333.2</v>
      </c>
      <c r="M71" s="111">
        <f t="shared" ref="M71:M134" si="6">F71*J71</f>
        <v>0</v>
      </c>
      <c r="N71" s="111">
        <f t="shared" ref="N71:N134" si="7">F71*K71</f>
        <v>8000</v>
      </c>
      <c r="O71" s="149"/>
      <c r="P71" s="116" t="s">
        <v>231</v>
      </c>
      <c r="U71" s="111">
        <v>1033.32</v>
      </c>
      <c r="V71" s="99">
        <f t="shared" ref="V71:V134" si="8">I71-U71</f>
        <v>100</v>
      </c>
      <c r="W71" s="99">
        <f t="shared" ref="W71:W134" si="9">I71-J71</f>
        <v>1133.32</v>
      </c>
    </row>
    <row r="72" ht="22" customHeight="1" spans="1:23">
      <c r="A72" s="108">
        <v>68</v>
      </c>
      <c r="B72" s="108" t="s">
        <v>232</v>
      </c>
      <c r="C72" s="138" t="s">
        <v>233</v>
      </c>
      <c r="D72" s="115"/>
      <c r="E72" s="108" t="s">
        <v>234</v>
      </c>
      <c r="F72" s="148">
        <v>2</v>
      </c>
      <c r="G72" s="110">
        <v>16</v>
      </c>
      <c r="H72" s="110">
        <v>32</v>
      </c>
      <c r="I72" s="111">
        <v>1133.32</v>
      </c>
      <c r="J72" s="111">
        <v>0</v>
      </c>
      <c r="K72" s="111">
        <v>800</v>
      </c>
      <c r="L72" s="111">
        <f t="shared" si="5"/>
        <v>2266.64</v>
      </c>
      <c r="M72" s="111">
        <f t="shared" si="6"/>
        <v>0</v>
      </c>
      <c r="N72" s="111">
        <f t="shared" si="7"/>
        <v>1600</v>
      </c>
      <c r="O72" s="149"/>
      <c r="P72" s="150" t="s">
        <v>79</v>
      </c>
      <c r="U72" s="111">
        <v>1033.32</v>
      </c>
      <c r="V72" s="99">
        <f t="shared" si="8"/>
        <v>100</v>
      </c>
      <c r="W72" s="99">
        <f t="shared" si="9"/>
        <v>1133.32</v>
      </c>
    </row>
    <row r="73" ht="22" customHeight="1" spans="1:23">
      <c r="A73" s="108">
        <v>69</v>
      </c>
      <c r="B73" s="108" t="s">
        <v>235</v>
      </c>
      <c r="C73" s="138" t="s">
        <v>236</v>
      </c>
      <c r="D73" s="115"/>
      <c r="E73" s="108" t="s">
        <v>234</v>
      </c>
      <c r="F73" s="148">
        <v>2</v>
      </c>
      <c r="G73" s="110">
        <v>10.5</v>
      </c>
      <c r="H73" s="110">
        <v>21</v>
      </c>
      <c r="I73" s="111">
        <v>1133.32</v>
      </c>
      <c r="J73" s="111">
        <v>0</v>
      </c>
      <c r="K73" s="111">
        <v>800</v>
      </c>
      <c r="L73" s="111">
        <f t="shared" si="5"/>
        <v>2266.64</v>
      </c>
      <c r="M73" s="111">
        <f t="shared" si="6"/>
        <v>0</v>
      </c>
      <c r="N73" s="111">
        <f t="shared" si="7"/>
        <v>1600</v>
      </c>
      <c r="O73" s="149"/>
      <c r="P73" s="150" t="s">
        <v>79</v>
      </c>
      <c r="U73" s="111">
        <v>1033.32</v>
      </c>
      <c r="V73" s="99">
        <f t="shared" si="8"/>
        <v>100</v>
      </c>
      <c r="W73" s="99">
        <f t="shared" si="9"/>
        <v>1133.32</v>
      </c>
    </row>
    <row r="74" ht="22" customHeight="1" spans="1:23">
      <c r="A74" s="108">
        <v>70</v>
      </c>
      <c r="B74" s="108" t="s">
        <v>237</v>
      </c>
      <c r="C74" s="138" t="s">
        <v>238</v>
      </c>
      <c r="D74" s="115"/>
      <c r="E74" s="108" t="s">
        <v>234</v>
      </c>
      <c r="F74" s="108">
        <v>2</v>
      </c>
      <c r="G74" s="110">
        <v>15.5</v>
      </c>
      <c r="H74" s="110">
        <v>31</v>
      </c>
      <c r="I74" s="111">
        <v>1133.32</v>
      </c>
      <c r="J74" s="111">
        <v>0</v>
      </c>
      <c r="K74" s="111">
        <v>800</v>
      </c>
      <c r="L74" s="111">
        <f t="shared" si="5"/>
        <v>2266.64</v>
      </c>
      <c r="M74" s="111">
        <f t="shared" si="6"/>
        <v>0</v>
      </c>
      <c r="N74" s="111">
        <f t="shared" si="7"/>
        <v>1600</v>
      </c>
      <c r="O74" s="149"/>
      <c r="P74" s="150" t="s">
        <v>79</v>
      </c>
      <c r="U74" s="111">
        <v>1033.32</v>
      </c>
      <c r="V74" s="99">
        <f t="shared" si="8"/>
        <v>100</v>
      </c>
      <c r="W74" s="99">
        <f t="shared" si="9"/>
        <v>1133.32</v>
      </c>
    </row>
    <row r="75" ht="22" customHeight="1" spans="1:23">
      <c r="A75" s="108">
        <v>71</v>
      </c>
      <c r="B75" s="108" t="s">
        <v>239</v>
      </c>
      <c r="C75" s="138" t="s">
        <v>240</v>
      </c>
      <c r="D75" s="115"/>
      <c r="E75" s="108" t="s">
        <v>234</v>
      </c>
      <c r="F75" s="108">
        <v>2</v>
      </c>
      <c r="G75" s="110">
        <v>1.5</v>
      </c>
      <c r="H75" s="110">
        <v>3</v>
      </c>
      <c r="I75" s="111">
        <v>1133.32</v>
      </c>
      <c r="J75" s="111">
        <v>0</v>
      </c>
      <c r="K75" s="111">
        <v>800</v>
      </c>
      <c r="L75" s="111">
        <f t="shared" si="5"/>
        <v>2266.64</v>
      </c>
      <c r="M75" s="111">
        <f t="shared" si="6"/>
        <v>0</v>
      </c>
      <c r="N75" s="111">
        <f t="shared" si="7"/>
        <v>1600</v>
      </c>
      <c r="O75" s="149"/>
      <c r="P75" s="150" t="s">
        <v>79</v>
      </c>
      <c r="U75" s="111">
        <v>1033.32</v>
      </c>
      <c r="V75" s="99">
        <f t="shared" si="8"/>
        <v>100</v>
      </c>
      <c r="W75" s="99">
        <f t="shared" si="9"/>
        <v>1133.32</v>
      </c>
    </row>
    <row r="76" ht="22" customHeight="1" spans="1:23">
      <c r="A76" s="108">
        <v>72</v>
      </c>
      <c r="B76" s="108" t="s">
        <v>241</v>
      </c>
      <c r="C76" s="138" t="s">
        <v>242</v>
      </c>
      <c r="D76" s="115"/>
      <c r="E76" s="108" t="s">
        <v>234</v>
      </c>
      <c r="F76" s="108">
        <v>2</v>
      </c>
      <c r="G76" s="110">
        <v>2</v>
      </c>
      <c r="H76" s="110">
        <v>4</v>
      </c>
      <c r="I76" s="111">
        <v>1133.32</v>
      </c>
      <c r="J76" s="111">
        <v>0</v>
      </c>
      <c r="K76" s="111">
        <v>800</v>
      </c>
      <c r="L76" s="111">
        <f t="shared" si="5"/>
        <v>2266.64</v>
      </c>
      <c r="M76" s="111">
        <f t="shared" si="6"/>
        <v>0</v>
      </c>
      <c r="N76" s="111">
        <f t="shared" si="7"/>
        <v>1600</v>
      </c>
      <c r="O76" s="149"/>
      <c r="P76" s="150" t="s">
        <v>79</v>
      </c>
      <c r="U76" s="111">
        <v>1033.32</v>
      </c>
      <c r="V76" s="99">
        <f t="shared" si="8"/>
        <v>100</v>
      </c>
      <c r="W76" s="99">
        <f t="shared" si="9"/>
        <v>1133.32</v>
      </c>
    </row>
    <row r="77" ht="22" customHeight="1" spans="1:23">
      <c r="A77" s="108">
        <v>73</v>
      </c>
      <c r="B77" s="108" t="s">
        <v>243</v>
      </c>
      <c r="C77" s="138" t="s">
        <v>244</v>
      </c>
      <c r="D77" s="115"/>
      <c r="E77" s="108" t="s">
        <v>234</v>
      </c>
      <c r="F77" s="108">
        <v>2</v>
      </c>
      <c r="G77" s="110">
        <v>0.5</v>
      </c>
      <c r="H77" s="110">
        <v>1</v>
      </c>
      <c r="I77" s="111">
        <v>1133.32</v>
      </c>
      <c r="J77" s="111">
        <v>0</v>
      </c>
      <c r="K77" s="111">
        <v>800</v>
      </c>
      <c r="L77" s="111">
        <f t="shared" si="5"/>
        <v>2266.64</v>
      </c>
      <c r="M77" s="111">
        <f t="shared" si="6"/>
        <v>0</v>
      </c>
      <c r="N77" s="111">
        <f t="shared" si="7"/>
        <v>1600</v>
      </c>
      <c r="O77" s="149"/>
      <c r="P77" s="150" t="s">
        <v>79</v>
      </c>
      <c r="U77" s="111">
        <v>1033.32</v>
      </c>
      <c r="V77" s="99">
        <f t="shared" si="8"/>
        <v>100</v>
      </c>
      <c r="W77" s="99">
        <f t="shared" si="9"/>
        <v>1133.32</v>
      </c>
    </row>
    <row r="78" ht="22" customHeight="1" spans="1:23">
      <c r="A78" s="108">
        <v>74</v>
      </c>
      <c r="B78" s="108" t="s">
        <v>245</v>
      </c>
      <c r="C78" s="138" t="s">
        <v>246</v>
      </c>
      <c r="D78" s="115"/>
      <c r="E78" s="108" t="s">
        <v>234</v>
      </c>
      <c r="F78" s="108">
        <v>2</v>
      </c>
      <c r="G78" s="110">
        <v>2.5</v>
      </c>
      <c r="H78" s="110">
        <v>5</v>
      </c>
      <c r="I78" s="111">
        <v>1133.32</v>
      </c>
      <c r="J78" s="111">
        <v>0</v>
      </c>
      <c r="K78" s="111">
        <v>800</v>
      </c>
      <c r="L78" s="111">
        <f t="shared" si="5"/>
        <v>2266.64</v>
      </c>
      <c r="M78" s="111">
        <f t="shared" si="6"/>
        <v>0</v>
      </c>
      <c r="N78" s="111">
        <f t="shared" si="7"/>
        <v>1600</v>
      </c>
      <c r="O78" s="149"/>
      <c r="P78" s="150" t="s">
        <v>79</v>
      </c>
      <c r="U78" s="111">
        <v>1033.32</v>
      </c>
      <c r="V78" s="99">
        <f t="shared" si="8"/>
        <v>100</v>
      </c>
      <c r="W78" s="99">
        <f t="shared" si="9"/>
        <v>1133.32</v>
      </c>
    </row>
    <row r="79" ht="22" customHeight="1" spans="1:23">
      <c r="A79" s="108">
        <v>75</v>
      </c>
      <c r="B79" s="108" t="s">
        <v>247</v>
      </c>
      <c r="C79" s="138" t="s">
        <v>248</v>
      </c>
      <c r="D79" s="115"/>
      <c r="E79" s="108" t="s">
        <v>234</v>
      </c>
      <c r="F79" s="108">
        <v>2</v>
      </c>
      <c r="G79" s="110">
        <v>2</v>
      </c>
      <c r="H79" s="110">
        <v>4</v>
      </c>
      <c r="I79" s="111">
        <v>1133.32</v>
      </c>
      <c r="J79" s="111">
        <v>0</v>
      </c>
      <c r="K79" s="111">
        <v>800</v>
      </c>
      <c r="L79" s="111">
        <f t="shared" si="5"/>
        <v>2266.64</v>
      </c>
      <c r="M79" s="111">
        <f t="shared" si="6"/>
        <v>0</v>
      </c>
      <c r="N79" s="111">
        <f t="shared" si="7"/>
        <v>1600</v>
      </c>
      <c r="O79" s="149"/>
      <c r="P79" s="150" t="s">
        <v>79</v>
      </c>
      <c r="U79" s="111">
        <v>1033.32</v>
      </c>
      <c r="V79" s="99">
        <f t="shared" si="8"/>
        <v>100</v>
      </c>
      <c r="W79" s="99">
        <f t="shared" si="9"/>
        <v>1133.32</v>
      </c>
    </row>
    <row r="80" ht="22" customHeight="1" spans="1:23">
      <c r="A80" s="108">
        <v>76</v>
      </c>
      <c r="B80" s="108" t="s">
        <v>249</v>
      </c>
      <c r="C80" s="138" t="s">
        <v>250</v>
      </c>
      <c r="D80" s="115"/>
      <c r="E80" s="108" t="s">
        <v>234</v>
      </c>
      <c r="F80" s="108">
        <v>2</v>
      </c>
      <c r="G80" s="110">
        <v>2.5</v>
      </c>
      <c r="H80" s="110">
        <v>5</v>
      </c>
      <c r="I80" s="111">
        <v>1133.32</v>
      </c>
      <c r="J80" s="111">
        <v>0</v>
      </c>
      <c r="K80" s="111">
        <v>800</v>
      </c>
      <c r="L80" s="111">
        <f t="shared" si="5"/>
        <v>2266.64</v>
      </c>
      <c r="M80" s="111">
        <f t="shared" si="6"/>
        <v>0</v>
      </c>
      <c r="N80" s="111">
        <f t="shared" si="7"/>
        <v>1600</v>
      </c>
      <c r="O80" s="149"/>
      <c r="P80" s="150" t="s">
        <v>79</v>
      </c>
      <c r="U80" s="111">
        <v>1033.32</v>
      </c>
      <c r="V80" s="99">
        <f t="shared" si="8"/>
        <v>100</v>
      </c>
      <c r="W80" s="99">
        <f t="shared" si="9"/>
        <v>1133.32</v>
      </c>
    </row>
    <row r="81" ht="22" customHeight="1" spans="1:23">
      <c r="A81" s="108">
        <v>77</v>
      </c>
      <c r="B81" s="108" t="s">
        <v>251</v>
      </c>
      <c r="C81" s="138" t="s">
        <v>252</v>
      </c>
      <c r="D81" s="115"/>
      <c r="E81" s="108" t="s">
        <v>234</v>
      </c>
      <c r="F81" s="108">
        <v>2</v>
      </c>
      <c r="G81" s="110">
        <v>0.1</v>
      </c>
      <c r="H81" s="110">
        <v>0.2</v>
      </c>
      <c r="I81" s="111">
        <v>1133.32</v>
      </c>
      <c r="J81" s="111">
        <v>0</v>
      </c>
      <c r="K81" s="111">
        <v>800</v>
      </c>
      <c r="L81" s="111">
        <f t="shared" si="5"/>
        <v>2266.64</v>
      </c>
      <c r="M81" s="111">
        <f t="shared" si="6"/>
        <v>0</v>
      </c>
      <c r="N81" s="111">
        <f t="shared" si="7"/>
        <v>1600</v>
      </c>
      <c r="O81" s="149"/>
      <c r="P81" s="150" t="s">
        <v>79</v>
      </c>
      <c r="U81" s="111">
        <v>1033.32</v>
      </c>
      <c r="V81" s="99">
        <f t="shared" si="8"/>
        <v>100</v>
      </c>
      <c r="W81" s="99">
        <f t="shared" si="9"/>
        <v>1133.32</v>
      </c>
    </row>
    <row r="82" ht="22" customHeight="1" spans="1:23">
      <c r="A82" s="108">
        <v>78</v>
      </c>
      <c r="B82" s="108" t="s">
        <v>253</v>
      </c>
      <c r="C82" s="138" t="s">
        <v>254</v>
      </c>
      <c r="D82" s="115"/>
      <c r="E82" s="108" t="s">
        <v>234</v>
      </c>
      <c r="F82" s="108">
        <v>2</v>
      </c>
      <c r="G82" s="110">
        <v>4</v>
      </c>
      <c r="H82" s="110">
        <v>8</v>
      </c>
      <c r="I82" s="111">
        <v>1133.32</v>
      </c>
      <c r="J82" s="111">
        <v>0</v>
      </c>
      <c r="K82" s="111">
        <v>800</v>
      </c>
      <c r="L82" s="111">
        <f t="shared" si="5"/>
        <v>2266.64</v>
      </c>
      <c r="M82" s="111">
        <f t="shared" si="6"/>
        <v>0</v>
      </c>
      <c r="N82" s="111">
        <f t="shared" si="7"/>
        <v>1600</v>
      </c>
      <c r="O82" s="149"/>
      <c r="P82" s="150" t="s">
        <v>79</v>
      </c>
      <c r="U82" s="111">
        <v>1033.32</v>
      </c>
      <c r="V82" s="99">
        <f t="shared" si="8"/>
        <v>100</v>
      </c>
      <c r="W82" s="99">
        <f t="shared" si="9"/>
        <v>1133.32</v>
      </c>
    </row>
    <row r="83" ht="22" customHeight="1" spans="1:23">
      <c r="A83" s="108">
        <v>79</v>
      </c>
      <c r="B83" s="108" t="s">
        <v>255</v>
      </c>
      <c r="C83" s="138" t="s">
        <v>256</v>
      </c>
      <c r="D83" s="115"/>
      <c r="E83" s="108" t="s">
        <v>234</v>
      </c>
      <c r="F83" s="108">
        <v>2</v>
      </c>
      <c r="G83" s="110">
        <v>3</v>
      </c>
      <c r="H83" s="110">
        <v>6</v>
      </c>
      <c r="I83" s="111">
        <v>1133.32</v>
      </c>
      <c r="J83" s="111">
        <v>0</v>
      </c>
      <c r="K83" s="111">
        <v>800</v>
      </c>
      <c r="L83" s="111">
        <f t="shared" si="5"/>
        <v>2266.64</v>
      </c>
      <c r="M83" s="111">
        <f t="shared" si="6"/>
        <v>0</v>
      </c>
      <c r="N83" s="111">
        <f t="shared" si="7"/>
        <v>1600</v>
      </c>
      <c r="O83" s="149"/>
      <c r="P83" s="150" t="s">
        <v>79</v>
      </c>
      <c r="U83" s="111">
        <v>1033.32</v>
      </c>
      <c r="V83" s="99">
        <f t="shared" si="8"/>
        <v>100</v>
      </c>
      <c r="W83" s="99">
        <f t="shared" si="9"/>
        <v>1133.32</v>
      </c>
    </row>
    <row r="84" ht="22" customHeight="1" spans="1:23">
      <c r="A84" s="108">
        <v>80</v>
      </c>
      <c r="B84" s="108" t="s">
        <v>257</v>
      </c>
      <c r="C84" s="138" t="s">
        <v>258</v>
      </c>
      <c r="D84" s="115"/>
      <c r="E84" s="108" t="s">
        <v>234</v>
      </c>
      <c r="F84" s="108">
        <v>2</v>
      </c>
      <c r="G84" s="110">
        <v>1.5</v>
      </c>
      <c r="H84" s="110">
        <v>3</v>
      </c>
      <c r="I84" s="111">
        <v>1133.32</v>
      </c>
      <c r="J84" s="111">
        <v>0</v>
      </c>
      <c r="K84" s="111">
        <v>800</v>
      </c>
      <c r="L84" s="111">
        <f t="shared" si="5"/>
        <v>2266.64</v>
      </c>
      <c r="M84" s="111">
        <f t="shared" si="6"/>
        <v>0</v>
      </c>
      <c r="N84" s="111">
        <f t="shared" si="7"/>
        <v>1600</v>
      </c>
      <c r="O84" s="149"/>
      <c r="P84" s="150" t="s">
        <v>79</v>
      </c>
      <c r="U84" s="111">
        <v>1033.32</v>
      </c>
      <c r="V84" s="99">
        <f t="shared" si="8"/>
        <v>100</v>
      </c>
      <c r="W84" s="99">
        <f t="shared" si="9"/>
        <v>1133.32</v>
      </c>
    </row>
    <row r="85" ht="22" customHeight="1" spans="1:23">
      <c r="A85" s="108">
        <v>81</v>
      </c>
      <c r="B85" s="108" t="s">
        <v>259</v>
      </c>
      <c r="C85" s="138" t="s">
        <v>260</v>
      </c>
      <c r="D85" s="115"/>
      <c r="E85" s="108" t="s">
        <v>234</v>
      </c>
      <c r="F85" s="108">
        <v>1</v>
      </c>
      <c r="G85" s="110">
        <v>12</v>
      </c>
      <c r="H85" s="110">
        <v>12</v>
      </c>
      <c r="I85" s="111">
        <v>1291.65</v>
      </c>
      <c r="J85" s="111">
        <v>0</v>
      </c>
      <c r="K85" s="111">
        <v>1000</v>
      </c>
      <c r="L85" s="111">
        <f t="shared" si="5"/>
        <v>1291.65</v>
      </c>
      <c r="M85" s="111">
        <f t="shared" si="6"/>
        <v>0</v>
      </c>
      <c r="N85" s="111">
        <f t="shared" si="7"/>
        <v>1000</v>
      </c>
      <c r="O85" s="149"/>
      <c r="P85" s="150" t="s">
        <v>79</v>
      </c>
      <c r="U85" s="111">
        <v>1291.65</v>
      </c>
      <c r="V85" s="99">
        <f t="shared" si="8"/>
        <v>0</v>
      </c>
      <c r="W85" s="99">
        <f t="shared" si="9"/>
        <v>1291.65</v>
      </c>
    </row>
    <row r="86" ht="22" customHeight="1" spans="1:23">
      <c r="A86" s="108">
        <v>82</v>
      </c>
      <c r="B86" s="108" t="s">
        <v>261</v>
      </c>
      <c r="C86" s="138" t="s">
        <v>262</v>
      </c>
      <c r="D86" s="115"/>
      <c r="E86" s="108" t="s">
        <v>263</v>
      </c>
      <c r="F86" s="108">
        <v>2</v>
      </c>
      <c r="G86" s="110">
        <v>1</v>
      </c>
      <c r="H86" s="110">
        <v>2</v>
      </c>
      <c r="I86" s="111">
        <v>1937.475</v>
      </c>
      <c r="J86" s="111">
        <v>0</v>
      </c>
      <c r="K86" s="111">
        <v>1500</v>
      </c>
      <c r="L86" s="111">
        <f t="shared" si="5"/>
        <v>3874.95</v>
      </c>
      <c r="M86" s="111">
        <f t="shared" si="6"/>
        <v>0</v>
      </c>
      <c r="N86" s="111">
        <f t="shared" si="7"/>
        <v>3000</v>
      </c>
      <c r="O86" s="149"/>
      <c r="P86" s="150" t="s">
        <v>79</v>
      </c>
      <c r="U86" s="111">
        <v>1937.475</v>
      </c>
      <c r="V86" s="99">
        <f t="shared" si="8"/>
        <v>0</v>
      </c>
      <c r="W86" s="99">
        <f t="shared" si="9"/>
        <v>1937.475</v>
      </c>
    </row>
    <row r="87" ht="22" customHeight="1" spans="1:23">
      <c r="A87" s="108">
        <v>83</v>
      </c>
      <c r="B87" s="108" t="s">
        <v>264</v>
      </c>
      <c r="C87" s="138" t="s">
        <v>265</v>
      </c>
      <c r="D87" s="115"/>
      <c r="E87" s="108" t="s">
        <v>263</v>
      </c>
      <c r="F87" s="108">
        <v>4</v>
      </c>
      <c r="G87" s="110">
        <v>0.1</v>
      </c>
      <c r="H87" s="110">
        <v>0.4</v>
      </c>
      <c r="I87" s="111">
        <v>665</v>
      </c>
      <c r="J87" s="111">
        <v>0</v>
      </c>
      <c r="K87" s="111">
        <v>500</v>
      </c>
      <c r="L87" s="111">
        <f t="shared" si="5"/>
        <v>2660</v>
      </c>
      <c r="M87" s="111">
        <f t="shared" si="6"/>
        <v>0</v>
      </c>
      <c r="N87" s="111">
        <f t="shared" si="7"/>
        <v>2000</v>
      </c>
      <c r="O87" s="149"/>
      <c r="P87" s="150" t="s">
        <v>79</v>
      </c>
      <c r="U87" s="111">
        <v>645.825</v>
      </c>
      <c r="V87" s="99">
        <f t="shared" si="8"/>
        <v>19.175</v>
      </c>
      <c r="W87" s="99">
        <f t="shared" si="9"/>
        <v>665</v>
      </c>
    </row>
    <row r="88" ht="22" customHeight="1" spans="1:23">
      <c r="A88" s="108">
        <v>84</v>
      </c>
      <c r="B88" s="108" t="s">
        <v>266</v>
      </c>
      <c r="C88" s="138" t="s">
        <v>267</v>
      </c>
      <c r="D88" s="115"/>
      <c r="E88" s="108" t="s">
        <v>234</v>
      </c>
      <c r="F88" s="108">
        <v>2</v>
      </c>
      <c r="G88" s="110">
        <v>6</v>
      </c>
      <c r="H88" s="110">
        <v>12</v>
      </c>
      <c r="I88" s="111">
        <v>665</v>
      </c>
      <c r="J88" s="111">
        <v>0</v>
      </c>
      <c r="K88" s="111">
        <v>500</v>
      </c>
      <c r="L88" s="111">
        <f t="shared" si="5"/>
        <v>1330</v>
      </c>
      <c r="M88" s="111">
        <f t="shared" si="6"/>
        <v>0</v>
      </c>
      <c r="N88" s="111">
        <f t="shared" si="7"/>
        <v>1000</v>
      </c>
      <c r="O88" s="149"/>
      <c r="P88" s="150" t="s">
        <v>79</v>
      </c>
      <c r="U88" s="111">
        <v>645.825</v>
      </c>
      <c r="V88" s="99">
        <f t="shared" si="8"/>
        <v>19.175</v>
      </c>
      <c r="W88" s="99">
        <f t="shared" si="9"/>
        <v>665</v>
      </c>
    </row>
    <row r="89" ht="22" customHeight="1" spans="1:23">
      <c r="A89" s="108">
        <v>85</v>
      </c>
      <c r="B89" s="108" t="s">
        <v>268</v>
      </c>
      <c r="C89" s="138" t="s">
        <v>269</v>
      </c>
      <c r="D89" s="115"/>
      <c r="E89" s="108" t="s">
        <v>234</v>
      </c>
      <c r="F89" s="108">
        <v>2</v>
      </c>
      <c r="G89" s="110">
        <v>1</v>
      </c>
      <c r="H89" s="110">
        <v>2</v>
      </c>
      <c r="I89" s="111">
        <v>665</v>
      </c>
      <c r="J89" s="111">
        <v>0</v>
      </c>
      <c r="K89" s="111">
        <v>500</v>
      </c>
      <c r="L89" s="111">
        <f t="shared" si="5"/>
        <v>1330</v>
      </c>
      <c r="M89" s="111">
        <f t="shared" si="6"/>
        <v>0</v>
      </c>
      <c r="N89" s="111">
        <f t="shared" si="7"/>
        <v>1000</v>
      </c>
      <c r="O89" s="149"/>
      <c r="P89" s="150" t="s">
        <v>79</v>
      </c>
      <c r="U89" s="111">
        <v>645.825</v>
      </c>
      <c r="V89" s="99">
        <f t="shared" si="8"/>
        <v>19.175</v>
      </c>
      <c r="W89" s="99">
        <f t="shared" si="9"/>
        <v>665</v>
      </c>
    </row>
    <row r="90" ht="22" customHeight="1" spans="1:23">
      <c r="A90" s="108">
        <v>86</v>
      </c>
      <c r="B90" s="108" t="s">
        <v>270</v>
      </c>
      <c r="C90" s="138" t="s">
        <v>271</v>
      </c>
      <c r="D90" s="115"/>
      <c r="E90" s="108" t="s">
        <v>272</v>
      </c>
      <c r="F90" s="108">
        <v>2</v>
      </c>
      <c r="G90" s="110">
        <v>0.5</v>
      </c>
      <c r="H90" s="110">
        <v>1</v>
      </c>
      <c r="I90" s="111">
        <v>665</v>
      </c>
      <c r="J90" s="111">
        <v>0</v>
      </c>
      <c r="K90" s="111">
        <v>500</v>
      </c>
      <c r="L90" s="111">
        <f t="shared" si="5"/>
        <v>1330</v>
      </c>
      <c r="M90" s="111">
        <f t="shared" si="6"/>
        <v>0</v>
      </c>
      <c r="N90" s="111">
        <f t="shared" si="7"/>
        <v>1000</v>
      </c>
      <c r="O90" s="149"/>
      <c r="P90" s="150" t="s">
        <v>79</v>
      </c>
      <c r="U90" s="111">
        <v>645.825</v>
      </c>
      <c r="V90" s="99">
        <f t="shared" si="8"/>
        <v>19.175</v>
      </c>
      <c r="W90" s="99">
        <f t="shared" si="9"/>
        <v>665</v>
      </c>
    </row>
    <row r="91" ht="22" customHeight="1" spans="1:23">
      <c r="A91" s="108">
        <v>87</v>
      </c>
      <c r="B91" s="108" t="s">
        <v>273</v>
      </c>
      <c r="C91" s="138" t="s">
        <v>274</v>
      </c>
      <c r="D91" s="115"/>
      <c r="E91" s="108" t="s">
        <v>263</v>
      </c>
      <c r="F91" s="108">
        <v>4</v>
      </c>
      <c r="G91" s="110">
        <v>0.2</v>
      </c>
      <c r="H91" s="110">
        <v>0.8</v>
      </c>
      <c r="I91" s="111">
        <v>665</v>
      </c>
      <c r="J91" s="111">
        <v>0</v>
      </c>
      <c r="K91" s="111">
        <v>500</v>
      </c>
      <c r="L91" s="111">
        <f t="shared" si="5"/>
        <v>2660</v>
      </c>
      <c r="M91" s="111">
        <f t="shared" si="6"/>
        <v>0</v>
      </c>
      <c r="N91" s="111">
        <f t="shared" si="7"/>
        <v>2000</v>
      </c>
      <c r="O91" s="149"/>
      <c r="P91" s="150" t="s">
        <v>79</v>
      </c>
      <c r="U91" s="111">
        <v>645.825</v>
      </c>
      <c r="V91" s="99">
        <f t="shared" si="8"/>
        <v>19.175</v>
      </c>
      <c r="W91" s="99">
        <f t="shared" si="9"/>
        <v>665</v>
      </c>
    </row>
    <row r="92" ht="22" customHeight="1" spans="1:23">
      <c r="A92" s="108">
        <v>88</v>
      </c>
      <c r="B92" s="108" t="s">
        <v>275</v>
      </c>
      <c r="C92" s="138" t="s">
        <v>276</v>
      </c>
      <c r="D92" s="115"/>
      <c r="E92" s="108" t="s">
        <v>263</v>
      </c>
      <c r="F92" s="108">
        <v>2</v>
      </c>
      <c r="G92" s="110">
        <v>0.05</v>
      </c>
      <c r="H92" s="110">
        <v>0.1</v>
      </c>
      <c r="I92" s="111">
        <v>665</v>
      </c>
      <c r="J92" s="111">
        <v>0</v>
      </c>
      <c r="K92" s="111">
        <v>500</v>
      </c>
      <c r="L92" s="111">
        <f t="shared" si="5"/>
        <v>1330</v>
      </c>
      <c r="M92" s="111">
        <f t="shared" si="6"/>
        <v>0</v>
      </c>
      <c r="N92" s="111">
        <f t="shared" si="7"/>
        <v>1000</v>
      </c>
      <c r="O92" s="149"/>
      <c r="P92" s="150" t="s">
        <v>79</v>
      </c>
      <c r="U92" s="111">
        <v>645.825</v>
      </c>
      <c r="V92" s="99">
        <f t="shared" si="8"/>
        <v>19.175</v>
      </c>
      <c r="W92" s="99">
        <f t="shared" si="9"/>
        <v>665</v>
      </c>
    </row>
    <row r="93" ht="22" customHeight="1" spans="1:23">
      <c r="A93" s="108">
        <v>89</v>
      </c>
      <c r="B93" s="108" t="s">
        <v>277</v>
      </c>
      <c r="C93" s="138" t="s">
        <v>278</v>
      </c>
      <c r="D93" s="115"/>
      <c r="E93" s="108" t="s">
        <v>263</v>
      </c>
      <c r="F93" s="108">
        <v>2</v>
      </c>
      <c r="G93" s="110">
        <v>0.1</v>
      </c>
      <c r="H93" s="110">
        <v>0.2</v>
      </c>
      <c r="I93" s="111">
        <v>665</v>
      </c>
      <c r="J93" s="111">
        <v>0</v>
      </c>
      <c r="K93" s="111">
        <v>500</v>
      </c>
      <c r="L93" s="111">
        <f t="shared" si="5"/>
        <v>1330</v>
      </c>
      <c r="M93" s="111">
        <f t="shared" si="6"/>
        <v>0</v>
      </c>
      <c r="N93" s="111">
        <f t="shared" si="7"/>
        <v>1000</v>
      </c>
      <c r="O93" s="149"/>
      <c r="P93" s="150" t="s">
        <v>79</v>
      </c>
      <c r="U93" s="111">
        <v>645.825</v>
      </c>
      <c r="V93" s="99">
        <f t="shared" si="8"/>
        <v>19.175</v>
      </c>
      <c r="W93" s="99">
        <f t="shared" si="9"/>
        <v>665</v>
      </c>
    </row>
    <row r="94" ht="22" customHeight="1" spans="1:23">
      <c r="A94" s="108">
        <v>90</v>
      </c>
      <c r="B94" s="108" t="s">
        <v>279</v>
      </c>
      <c r="C94" s="138" t="s">
        <v>280</v>
      </c>
      <c r="D94" s="115"/>
      <c r="E94" s="108" t="s">
        <v>263</v>
      </c>
      <c r="F94" s="108">
        <v>2</v>
      </c>
      <c r="G94" s="110">
        <v>0.05</v>
      </c>
      <c r="H94" s="110">
        <v>0.1</v>
      </c>
      <c r="I94" s="111">
        <v>665</v>
      </c>
      <c r="J94" s="111">
        <v>0</v>
      </c>
      <c r="K94" s="111">
        <v>500</v>
      </c>
      <c r="L94" s="111">
        <f t="shared" si="5"/>
        <v>1330</v>
      </c>
      <c r="M94" s="111">
        <f t="shared" si="6"/>
        <v>0</v>
      </c>
      <c r="N94" s="111">
        <f t="shared" si="7"/>
        <v>1000</v>
      </c>
      <c r="O94" s="149"/>
      <c r="P94" s="150" t="s">
        <v>79</v>
      </c>
      <c r="U94" s="111">
        <v>645.825</v>
      </c>
      <c r="V94" s="99">
        <f t="shared" si="8"/>
        <v>19.175</v>
      </c>
      <c r="W94" s="99">
        <f t="shared" si="9"/>
        <v>665</v>
      </c>
    </row>
    <row r="95" ht="22" customHeight="1" spans="1:23">
      <c r="A95" s="108">
        <v>91</v>
      </c>
      <c r="B95" s="108" t="s">
        <v>281</v>
      </c>
      <c r="C95" s="138" t="s">
        <v>282</v>
      </c>
      <c r="D95" s="115"/>
      <c r="E95" s="108" t="s">
        <v>263</v>
      </c>
      <c r="F95" s="108">
        <v>2</v>
      </c>
      <c r="G95" s="110">
        <v>0.1</v>
      </c>
      <c r="H95" s="110">
        <v>0.2</v>
      </c>
      <c r="I95" s="111">
        <v>665</v>
      </c>
      <c r="J95" s="111">
        <v>0</v>
      </c>
      <c r="K95" s="111">
        <v>500</v>
      </c>
      <c r="L95" s="111">
        <f t="shared" si="5"/>
        <v>1330</v>
      </c>
      <c r="M95" s="111">
        <f t="shared" si="6"/>
        <v>0</v>
      </c>
      <c r="N95" s="111">
        <f t="shared" si="7"/>
        <v>1000</v>
      </c>
      <c r="O95" s="149"/>
      <c r="P95" s="150" t="s">
        <v>79</v>
      </c>
      <c r="U95" s="111">
        <v>645.825</v>
      </c>
      <c r="V95" s="99">
        <f t="shared" si="8"/>
        <v>19.175</v>
      </c>
      <c r="W95" s="99">
        <f t="shared" si="9"/>
        <v>665</v>
      </c>
    </row>
    <row r="96" ht="22" customHeight="1" spans="1:23">
      <c r="A96" s="108">
        <v>92</v>
      </c>
      <c r="B96" s="108" t="s">
        <v>283</v>
      </c>
      <c r="C96" s="138" t="s">
        <v>284</v>
      </c>
      <c r="D96" s="115"/>
      <c r="E96" s="108" t="s">
        <v>230</v>
      </c>
      <c r="F96" s="108">
        <v>4</v>
      </c>
      <c r="G96" s="110">
        <v>0.2</v>
      </c>
      <c r="H96" s="110">
        <v>0.8</v>
      </c>
      <c r="I96" s="111">
        <v>665</v>
      </c>
      <c r="J96" s="111">
        <v>0</v>
      </c>
      <c r="K96" s="111">
        <v>500</v>
      </c>
      <c r="L96" s="111">
        <f t="shared" si="5"/>
        <v>2660</v>
      </c>
      <c r="M96" s="111">
        <f t="shared" si="6"/>
        <v>0</v>
      </c>
      <c r="N96" s="111">
        <f t="shared" si="7"/>
        <v>2000</v>
      </c>
      <c r="O96" s="149"/>
      <c r="P96" s="150" t="s">
        <v>79</v>
      </c>
      <c r="U96" s="111">
        <v>645.825</v>
      </c>
      <c r="V96" s="99">
        <f t="shared" si="8"/>
        <v>19.175</v>
      </c>
      <c r="W96" s="99">
        <f t="shared" si="9"/>
        <v>665</v>
      </c>
    </row>
    <row r="97" ht="22" customHeight="1" spans="1:23">
      <c r="A97" s="108">
        <v>93</v>
      </c>
      <c r="B97" s="108" t="s">
        <v>285</v>
      </c>
      <c r="C97" s="138" t="s">
        <v>286</v>
      </c>
      <c r="D97" s="115"/>
      <c r="E97" s="108" t="s">
        <v>263</v>
      </c>
      <c r="F97" s="108">
        <v>2</v>
      </c>
      <c r="G97" s="110">
        <v>45</v>
      </c>
      <c r="H97" s="110">
        <v>90</v>
      </c>
      <c r="I97" s="111">
        <v>665</v>
      </c>
      <c r="J97" s="111">
        <v>0</v>
      </c>
      <c r="K97" s="111">
        <v>500</v>
      </c>
      <c r="L97" s="111">
        <f t="shared" si="5"/>
        <v>1330</v>
      </c>
      <c r="M97" s="111">
        <f t="shared" si="6"/>
        <v>0</v>
      </c>
      <c r="N97" s="111">
        <f t="shared" si="7"/>
        <v>1000</v>
      </c>
      <c r="O97" s="149"/>
      <c r="P97" s="150" t="s">
        <v>79</v>
      </c>
      <c r="U97" s="111">
        <v>645.825</v>
      </c>
      <c r="V97" s="99">
        <f t="shared" si="8"/>
        <v>19.175</v>
      </c>
      <c r="W97" s="99">
        <f t="shared" si="9"/>
        <v>665</v>
      </c>
    </row>
    <row r="98" ht="22" customHeight="1" spans="1:23">
      <c r="A98" s="108">
        <v>94</v>
      </c>
      <c r="B98" s="108" t="s">
        <v>287</v>
      </c>
      <c r="C98" s="138" t="s">
        <v>288</v>
      </c>
      <c r="D98" s="115"/>
      <c r="E98" s="108" t="s">
        <v>263</v>
      </c>
      <c r="F98" s="108">
        <v>2</v>
      </c>
      <c r="G98" s="110">
        <v>18</v>
      </c>
      <c r="H98" s="110">
        <v>36</v>
      </c>
      <c r="I98" s="111">
        <v>665</v>
      </c>
      <c r="J98" s="111">
        <v>0</v>
      </c>
      <c r="K98" s="111">
        <v>500</v>
      </c>
      <c r="L98" s="111">
        <f t="shared" si="5"/>
        <v>1330</v>
      </c>
      <c r="M98" s="111">
        <f t="shared" si="6"/>
        <v>0</v>
      </c>
      <c r="N98" s="111">
        <f t="shared" si="7"/>
        <v>1000</v>
      </c>
      <c r="O98" s="149"/>
      <c r="P98" s="150" t="s">
        <v>79</v>
      </c>
      <c r="U98" s="111">
        <v>645.825</v>
      </c>
      <c r="V98" s="99">
        <f t="shared" si="8"/>
        <v>19.175</v>
      </c>
      <c r="W98" s="99">
        <f t="shared" si="9"/>
        <v>665</v>
      </c>
    </row>
    <row r="99" ht="22" customHeight="1" spans="1:23">
      <c r="A99" s="108">
        <v>95</v>
      </c>
      <c r="B99" s="108" t="s">
        <v>289</v>
      </c>
      <c r="C99" s="138" t="s">
        <v>290</v>
      </c>
      <c r="D99" s="115"/>
      <c r="E99" s="108" t="s">
        <v>234</v>
      </c>
      <c r="F99" s="108">
        <v>2</v>
      </c>
      <c r="G99" s="110"/>
      <c r="H99" s="110"/>
      <c r="I99" s="111">
        <v>3483.3</v>
      </c>
      <c r="J99" s="111">
        <v>0</v>
      </c>
      <c r="K99" s="111">
        <v>2000</v>
      </c>
      <c r="L99" s="111">
        <f t="shared" si="5"/>
        <v>6966.6</v>
      </c>
      <c r="M99" s="111">
        <f t="shared" si="6"/>
        <v>0</v>
      </c>
      <c r="N99" s="111">
        <f t="shared" si="7"/>
        <v>4000</v>
      </c>
      <c r="O99" s="149"/>
      <c r="P99" s="150" t="s">
        <v>79</v>
      </c>
      <c r="U99" s="111">
        <v>2583.3</v>
      </c>
      <c r="V99" s="99">
        <f t="shared" si="8"/>
        <v>900</v>
      </c>
      <c r="W99" s="99">
        <f t="shared" si="9"/>
        <v>3483.3</v>
      </c>
    </row>
    <row r="100" ht="42" customHeight="1" spans="1:23">
      <c r="A100" s="108">
        <v>96</v>
      </c>
      <c r="B100" s="108" t="s">
        <v>291</v>
      </c>
      <c r="C100" s="138" t="s">
        <v>292</v>
      </c>
      <c r="D100" s="115"/>
      <c r="E100" s="108" t="s">
        <v>234</v>
      </c>
      <c r="F100" s="108">
        <v>2</v>
      </c>
      <c r="G100" s="110"/>
      <c r="H100" s="110"/>
      <c r="I100" s="111">
        <v>4874.95</v>
      </c>
      <c r="J100" s="111">
        <v>0</v>
      </c>
      <c r="K100" s="111">
        <v>3000</v>
      </c>
      <c r="L100" s="111">
        <f t="shared" si="5"/>
        <v>9749.9</v>
      </c>
      <c r="M100" s="111">
        <f t="shared" si="6"/>
        <v>0</v>
      </c>
      <c r="N100" s="111">
        <f t="shared" si="7"/>
        <v>6000</v>
      </c>
      <c r="O100" s="149"/>
      <c r="P100" s="150" t="s">
        <v>79</v>
      </c>
      <c r="U100" s="111">
        <v>3874.95</v>
      </c>
      <c r="V100" s="99">
        <f t="shared" si="8"/>
        <v>1000</v>
      </c>
      <c r="W100" s="99">
        <f t="shared" si="9"/>
        <v>4874.95</v>
      </c>
    </row>
    <row r="101" ht="50" customHeight="1" spans="1:23">
      <c r="A101" s="108">
        <v>97</v>
      </c>
      <c r="B101" s="108" t="s">
        <v>293</v>
      </c>
      <c r="C101" s="138" t="s">
        <v>294</v>
      </c>
      <c r="D101" s="115"/>
      <c r="E101" s="108" t="s">
        <v>234</v>
      </c>
      <c r="F101" s="108">
        <v>32</v>
      </c>
      <c r="G101" s="110">
        <v>25</v>
      </c>
      <c r="H101" s="110">
        <v>800</v>
      </c>
      <c r="I101" s="111">
        <v>153.332</v>
      </c>
      <c r="J101" s="111">
        <v>0</v>
      </c>
      <c r="K101" s="111">
        <v>80</v>
      </c>
      <c r="L101" s="111">
        <f t="shared" si="5"/>
        <v>4906.624</v>
      </c>
      <c r="M101" s="111">
        <f t="shared" si="6"/>
        <v>0</v>
      </c>
      <c r="N101" s="111">
        <f t="shared" si="7"/>
        <v>2560</v>
      </c>
      <c r="O101" s="149"/>
      <c r="P101" s="116" t="s">
        <v>295</v>
      </c>
      <c r="U101" s="111">
        <v>103.332</v>
      </c>
      <c r="V101" s="99">
        <f t="shared" si="8"/>
        <v>50</v>
      </c>
      <c r="W101" s="99">
        <f t="shared" si="9"/>
        <v>153.332</v>
      </c>
    </row>
    <row r="102" ht="34" customHeight="1" spans="1:23">
      <c r="A102" s="108">
        <v>98</v>
      </c>
      <c r="B102" s="108" t="s">
        <v>296</v>
      </c>
      <c r="C102" s="138" t="s">
        <v>297</v>
      </c>
      <c r="D102" s="115"/>
      <c r="E102" s="108" t="s">
        <v>234</v>
      </c>
      <c r="F102" s="108">
        <v>2</v>
      </c>
      <c r="G102" s="110">
        <v>0.2</v>
      </c>
      <c r="H102" s="110">
        <v>0.4</v>
      </c>
      <c r="I102" s="111">
        <v>387.495</v>
      </c>
      <c r="J102" s="111">
        <v>0</v>
      </c>
      <c r="K102" s="111">
        <v>300</v>
      </c>
      <c r="L102" s="111">
        <f t="shared" si="5"/>
        <v>774.99</v>
      </c>
      <c r="M102" s="111">
        <f t="shared" si="6"/>
        <v>0</v>
      </c>
      <c r="N102" s="111">
        <f t="shared" si="7"/>
        <v>600</v>
      </c>
      <c r="O102" s="149"/>
      <c r="P102" s="116" t="s">
        <v>298</v>
      </c>
      <c r="U102" s="111">
        <v>387.495</v>
      </c>
      <c r="V102" s="99">
        <f t="shared" si="8"/>
        <v>0</v>
      </c>
      <c r="W102" s="99">
        <f t="shared" si="9"/>
        <v>387.495</v>
      </c>
    </row>
    <row r="103" s="99" customFormat="1" ht="112" customHeight="1" spans="1:23">
      <c r="A103" s="108">
        <v>99</v>
      </c>
      <c r="B103" s="108" t="s">
        <v>299</v>
      </c>
      <c r="C103" s="138" t="s">
        <v>300</v>
      </c>
      <c r="D103" s="115"/>
      <c r="E103" s="108" t="s">
        <v>301</v>
      </c>
      <c r="F103" s="108">
        <v>2</v>
      </c>
      <c r="G103" s="110"/>
      <c r="H103" s="110"/>
      <c r="I103" s="111">
        <v>25833</v>
      </c>
      <c r="J103" s="111">
        <v>0</v>
      </c>
      <c r="K103" s="111">
        <v>20000</v>
      </c>
      <c r="L103" s="111">
        <f t="shared" si="5"/>
        <v>51666</v>
      </c>
      <c r="M103" s="111">
        <f t="shared" si="6"/>
        <v>0</v>
      </c>
      <c r="N103" s="111">
        <f t="shared" si="7"/>
        <v>40000</v>
      </c>
      <c r="O103" s="149"/>
      <c r="P103" s="116" t="s">
        <v>302</v>
      </c>
      <c r="U103" s="111">
        <v>25833</v>
      </c>
      <c r="V103" s="99">
        <f t="shared" si="8"/>
        <v>0</v>
      </c>
      <c r="W103" s="99">
        <f t="shared" si="9"/>
        <v>25833</v>
      </c>
    </row>
    <row r="104" s="99" customFormat="1" ht="22" customHeight="1" spans="1:23">
      <c r="A104" s="108">
        <v>100</v>
      </c>
      <c r="B104" s="108" t="s">
        <v>303</v>
      </c>
      <c r="C104" s="138" t="s">
        <v>304</v>
      </c>
      <c r="D104" s="115"/>
      <c r="E104" s="108" t="s">
        <v>305</v>
      </c>
      <c r="F104" s="108">
        <v>1</v>
      </c>
      <c r="G104" s="110"/>
      <c r="H104" s="110"/>
      <c r="I104" s="111">
        <v>55666</v>
      </c>
      <c r="J104" s="111">
        <v>0</v>
      </c>
      <c r="K104" s="111">
        <v>40000</v>
      </c>
      <c r="L104" s="111">
        <f t="shared" si="5"/>
        <v>55666</v>
      </c>
      <c r="M104" s="111">
        <f t="shared" si="6"/>
        <v>0</v>
      </c>
      <c r="N104" s="111">
        <f t="shared" si="7"/>
        <v>40000</v>
      </c>
      <c r="O104" s="149"/>
      <c r="P104" s="150" t="s">
        <v>79</v>
      </c>
      <c r="U104" s="111">
        <v>51666</v>
      </c>
      <c r="V104" s="99">
        <f t="shared" si="8"/>
        <v>4000</v>
      </c>
      <c r="W104" s="99">
        <f t="shared" si="9"/>
        <v>55666</v>
      </c>
    </row>
    <row r="105" ht="107" customHeight="1" spans="1:23">
      <c r="A105" s="108">
        <v>101</v>
      </c>
      <c r="B105" s="108" t="s">
        <v>306</v>
      </c>
      <c r="C105" s="138" t="s">
        <v>307</v>
      </c>
      <c r="D105" s="115"/>
      <c r="E105" s="108" t="s">
        <v>305</v>
      </c>
      <c r="F105" s="108">
        <v>2</v>
      </c>
      <c r="G105" s="110"/>
      <c r="H105" s="110"/>
      <c r="I105" s="111">
        <v>7458.25</v>
      </c>
      <c r="J105" s="111">
        <v>0</v>
      </c>
      <c r="K105" s="111">
        <v>5000</v>
      </c>
      <c r="L105" s="111">
        <f t="shared" si="5"/>
        <v>14916.5</v>
      </c>
      <c r="M105" s="111">
        <f t="shared" si="6"/>
        <v>0</v>
      </c>
      <c r="N105" s="111">
        <f t="shared" si="7"/>
        <v>10000</v>
      </c>
      <c r="O105" s="149"/>
      <c r="P105" s="116" t="s">
        <v>308</v>
      </c>
      <c r="U105" s="111">
        <v>6458.25</v>
      </c>
      <c r="V105" s="99">
        <f t="shared" si="8"/>
        <v>1000</v>
      </c>
      <c r="W105" s="99">
        <f t="shared" si="9"/>
        <v>7458.25</v>
      </c>
    </row>
    <row r="106" ht="22" customHeight="1" spans="1:23">
      <c r="A106" s="108">
        <v>102</v>
      </c>
      <c r="B106" s="108" t="s">
        <v>309</v>
      </c>
      <c r="C106" s="138" t="s">
        <v>310</v>
      </c>
      <c r="D106" s="115"/>
      <c r="E106" s="108" t="s">
        <v>305</v>
      </c>
      <c r="F106" s="108">
        <v>2</v>
      </c>
      <c r="G106" s="110"/>
      <c r="H106" s="110"/>
      <c r="I106" s="111">
        <v>1420.815</v>
      </c>
      <c r="J106" s="111">
        <v>0</v>
      </c>
      <c r="K106" s="111">
        <v>1100</v>
      </c>
      <c r="L106" s="111">
        <f t="shared" si="5"/>
        <v>2841.63</v>
      </c>
      <c r="M106" s="111">
        <f t="shared" si="6"/>
        <v>0</v>
      </c>
      <c r="N106" s="111">
        <f t="shared" si="7"/>
        <v>2200</v>
      </c>
      <c r="O106" s="149"/>
      <c r="P106" s="150" t="s">
        <v>79</v>
      </c>
      <c r="U106" s="111">
        <v>1420.815</v>
      </c>
      <c r="V106" s="99">
        <f t="shared" si="8"/>
        <v>0</v>
      </c>
      <c r="W106" s="99">
        <f t="shared" si="9"/>
        <v>1420.815</v>
      </c>
    </row>
    <row r="107" s="99" customFormat="1" ht="22" customHeight="1" spans="1:23">
      <c r="A107" s="108">
        <v>103</v>
      </c>
      <c r="B107" s="108" t="s">
        <v>311</v>
      </c>
      <c r="C107" s="151" t="s">
        <v>312</v>
      </c>
      <c r="D107" s="109" t="s">
        <v>313</v>
      </c>
      <c r="E107" s="117" t="s">
        <v>234</v>
      </c>
      <c r="F107" s="108">
        <v>1</v>
      </c>
      <c r="G107" s="110"/>
      <c r="H107" s="110"/>
      <c r="I107" s="111">
        <v>55666</v>
      </c>
      <c r="J107" s="111">
        <v>0</v>
      </c>
      <c r="K107" s="111">
        <v>40000</v>
      </c>
      <c r="L107" s="111">
        <f t="shared" si="5"/>
        <v>55666</v>
      </c>
      <c r="M107" s="111">
        <f t="shared" si="6"/>
        <v>0</v>
      </c>
      <c r="N107" s="111">
        <f t="shared" si="7"/>
        <v>40000</v>
      </c>
      <c r="O107" s="149"/>
      <c r="P107" s="150" t="s">
        <v>79</v>
      </c>
      <c r="U107" s="111">
        <v>51666</v>
      </c>
      <c r="V107" s="99">
        <f t="shared" si="8"/>
        <v>4000</v>
      </c>
      <c r="W107" s="99">
        <f t="shared" si="9"/>
        <v>55666</v>
      </c>
    </row>
    <row r="108" ht="22" customHeight="1" spans="1:23">
      <c r="A108" s="108">
        <v>104</v>
      </c>
      <c r="B108" s="108" t="s">
        <v>314</v>
      </c>
      <c r="C108" s="138" t="s">
        <v>315</v>
      </c>
      <c r="D108" s="115"/>
      <c r="E108" s="108" t="s">
        <v>305</v>
      </c>
      <c r="F108" s="108">
        <v>1</v>
      </c>
      <c r="G108" s="110"/>
      <c r="H108" s="110"/>
      <c r="I108" s="111">
        <v>1820.815</v>
      </c>
      <c r="J108" s="111">
        <v>0</v>
      </c>
      <c r="K108" s="111">
        <v>1100</v>
      </c>
      <c r="L108" s="111">
        <f t="shared" si="5"/>
        <v>1820.815</v>
      </c>
      <c r="M108" s="111">
        <f t="shared" si="6"/>
        <v>0</v>
      </c>
      <c r="N108" s="111">
        <f t="shared" si="7"/>
        <v>1100</v>
      </c>
      <c r="O108" s="149"/>
      <c r="P108" s="150" t="s">
        <v>79</v>
      </c>
      <c r="U108" s="111">
        <v>1420.815</v>
      </c>
      <c r="V108" s="99">
        <f t="shared" si="8"/>
        <v>400</v>
      </c>
      <c r="W108" s="99">
        <f t="shared" si="9"/>
        <v>1820.815</v>
      </c>
    </row>
    <row r="109" ht="22" customHeight="1" spans="1:23">
      <c r="A109" s="108">
        <v>105</v>
      </c>
      <c r="B109" s="108">
        <v>2.2</v>
      </c>
      <c r="C109" s="138" t="s">
        <v>316</v>
      </c>
      <c r="D109" s="115"/>
      <c r="E109" s="108"/>
      <c r="F109" s="108"/>
      <c r="G109" s="110"/>
      <c r="H109" s="110"/>
      <c r="I109" s="111">
        <v>0</v>
      </c>
      <c r="J109" s="111">
        <v>0</v>
      </c>
      <c r="K109" s="111">
        <v>0</v>
      </c>
      <c r="L109" s="111">
        <f t="shared" si="5"/>
        <v>0</v>
      </c>
      <c r="M109" s="111">
        <f t="shared" si="6"/>
        <v>0</v>
      </c>
      <c r="N109" s="111">
        <f t="shared" si="7"/>
        <v>0</v>
      </c>
      <c r="O109" s="149"/>
      <c r="P109" s="150"/>
      <c r="U109" s="111">
        <v>0</v>
      </c>
      <c r="V109" s="99">
        <f t="shared" si="8"/>
        <v>0</v>
      </c>
      <c r="W109" s="99">
        <f t="shared" si="9"/>
        <v>0</v>
      </c>
    </row>
    <row r="110" ht="79" customHeight="1" spans="1:23">
      <c r="A110" s="108">
        <v>106</v>
      </c>
      <c r="B110" s="108" t="s">
        <v>317</v>
      </c>
      <c r="C110" s="138" t="s">
        <v>133</v>
      </c>
      <c r="D110" s="115" t="s">
        <v>318</v>
      </c>
      <c r="E110" s="152" t="s">
        <v>59</v>
      </c>
      <c r="F110" s="110">
        <v>9</v>
      </c>
      <c r="G110" s="110"/>
      <c r="H110" s="110"/>
      <c r="I110" s="111">
        <v>2324.97</v>
      </c>
      <c r="J110" s="111">
        <v>1500</v>
      </c>
      <c r="K110" s="111">
        <v>300</v>
      </c>
      <c r="L110" s="111">
        <f t="shared" si="5"/>
        <v>20924.73</v>
      </c>
      <c r="M110" s="111">
        <f t="shared" si="6"/>
        <v>13500</v>
      </c>
      <c r="N110" s="111">
        <f t="shared" si="7"/>
        <v>2700</v>
      </c>
      <c r="O110" s="149"/>
      <c r="P110" s="116" t="s">
        <v>135</v>
      </c>
      <c r="U110" s="111">
        <v>2324.97</v>
      </c>
      <c r="V110" s="99">
        <f t="shared" si="8"/>
        <v>0</v>
      </c>
      <c r="W110" s="99">
        <f t="shared" si="9"/>
        <v>824.97</v>
      </c>
    </row>
    <row r="111" s="99" customFormat="1" ht="104" customHeight="1" spans="1:23">
      <c r="A111" s="108">
        <v>107</v>
      </c>
      <c r="B111" s="108" t="s">
        <v>319</v>
      </c>
      <c r="C111" s="151" t="s">
        <v>320</v>
      </c>
      <c r="D111" s="115" t="s">
        <v>63</v>
      </c>
      <c r="E111" s="137" t="s">
        <v>64</v>
      </c>
      <c r="F111" s="110">
        <v>2.5</v>
      </c>
      <c r="G111" s="110"/>
      <c r="H111" s="110"/>
      <c r="I111" s="111">
        <v>39199.862920354</v>
      </c>
      <c r="J111" s="111">
        <v>30000</v>
      </c>
      <c r="K111" s="111">
        <v>3800</v>
      </c>
      <c r="L111" s="111">
        <f t="shared" si="5"/>
        <v>97999.657300885</v>
      </c>
      <c r="M111" s="111">
        <f t="shared" si="6"/>
        <v>75000</v>
      </c>
      <c r="N111" s="111">
        <f t="shared" si="7"/>
        <v>9500</v>
      </c>
      <c r="O111" s="149"/>
      <c r="P111" s="116" t="s">
        <v>321</v>
      </c>
      <c r="U111" s="111">
        <v>39199.862920354</v>
      </c>
      <c r="V111" s="99">
        <f t="shared" si="8"/>
        <v>0</v>
      </c>
      <c r="W111" s="99">
        <f t="shared" si="9"/>
        <v>9199.862920354</v>
      </c>
    </row>
    <row r="112" ht="22" customHeight="1" spans="1:23">
      <c r="A112" s="108">
        <v>108</v>
      </c>
      <c r="B112" s="108">
        <v>3</v>
      </c>
      <c r="C112" s="138" t="s">
        <v>322</v>
      </c>
      <c r="D112" s="115"/>
      <c r="E112" s="108"/>
      <c r="F112" s="108"/>
      <c r="G112" s="110"/>
      <c r="H112" s="110"/>
      <c r="I112" s="111">
        <v>0</v>
      </c>
      <c r="J112" s="111">
        <v>0</v>
      </c>
      <c r="K112" s="111">
        <v>0</v>
      </c>
      <c r="L112" s="111">
        <f>SUM(L113:L125)</f>
        <v>113825.808752336</v>
      </c>
      <c r="M112" s="111">
        <f>SUM(M113:M125)</f>
        <v>54500</v>
      </c>
      <c r="N112" s="111">
        <f>SUM(N113:N125)</f>
        <v>35340</v>
      </c>
      <c r="O112" s="149"/>
      <c r="P112" s="150"/>
      <c r="U112" s="111">
        <v>0</v>
      </c>
      <c r="V112" s="99">
        <f t="shared" si="8"/>
        <v>0</v>
      </c>
      <c r="W112" s="99">
        <f t="shared" si="9"/>
        <v>0</v>
      </c>
    </row>
    <row r="113" ht="22" customHeight="1" spans="1:23">
      <c r="A113" s="108">
        <v>109</v>
      </c>
      <c r="B113" s="108" t="s">
        <v>323</v>
      </c>
      <c r="C113" s="138" t="s">
        <v>324</v>
      </c>
      <c r="D113" s="115"/>
      <c r="E113" s="108"/>
      <c r="F113" s="148"/>
      <c r="G113" s="110"/>
      <c r="H113" s="110"/>
      <c r="I113" s="111">
        <v>0</v>
      </c>
      <c r="J113" s="111">
        <v>0</v>
      </c>
      <c r="K113" s="111">
        <v>0</v>
      </c>
      <c r="L113" s="111">
        <f t="shared" si="5"/>
        <v>0</v>
      </c>
      <c r="M113" s="111">
        <f t="shared" si="6"/>
        <v>0</v>
      </c>
      <c r="N113" s="111">
        <f t="shared" si="7"/>
        <v>0</v>
      </c>
      <c r="O113" s="149"/>
      <c r="P113" s="150"/>
      <c r="U113" s="111">
        <v>0</v>
      </c>
      <c r="V113" s="99">
        <f t="shared" si="8"/>
        <v>0</v>
      </c>
      <c r="W113" s="99">
        <f t="shared" si="9"/>
        <v>0</v>
      </c>
    </row>
    <row r="114" ht="114" customHeight="1" spans="1:23">
      <c r="A114" s="108">
        <v>110</v>
      </c>
      <c r="B114" s="108" t="s">
        <v>325</v>
      </c>
      <c r="C114" s="138" t="s">
        <v>326</v>
      </c>
      <c r="D114" s="115" t="s">
        <v>327</v>
      </c>
      <c r="E114" s="108" t="s">
        <v>305</v>
      </c>
      <c r="F114" s="153">
        <v>1</v>
      </c>
      <c r="G114" s="110"/>
      <c r="H114" s="110"/>
      <c r="I114" s="111">
        <v>118.15938</v>
      </c>
      <c r="J114" s="111">
        <v>0</v>
      </c>
      <c r="K114" s="111">
        <v>150</v>
      </c>
      <c r="L114" s="111">
        <f t="shared" si="5"/>
        <v>118.15938</v>
      </c>
      <c r="M114" s="111">
        <f t="shared" si="6"/>
        <v>0</v>
      </c>
      <c r="N114" s="111">
        <f t="shared" si="7"/>
        <v>150</v>
      </c>
      <c r="O114" s="149"/>
      <c r="P114" s="116" t="s">
        <v>328</v>
      </c>
      <c r="Q114" s="99">
        <f>I114*1.048</f>
        <v>123.83103024</v>
      </c>
      <c r="U114" s="111">
        <v>112.7475</v>
      </c>
      <c r="V114" s="99">
        <f t="shared" si="8"/>
        <v>5.41188</v>
      </c>
      <c r="W114" s="99">
        <f t="shared" si="9"/>
        <v>118.15938</v>
      </c>
    </row>
    <row r="115" ht="22" customHeight="1" spans="1:23">
      <c r="A115" s="108">
        <v>111</v>
      </c>
      <c r="B115" s="108" t="s">
        <v>329</v>
      </c>
      <c r="C115" s="138" t="s">
        <v>326</v>
      </c>
      <c r="D115" s="115" t="s">
        <v>330</v>
      </c>
      <c r="E115" s="108" t="s">
        <v>305</v>
      </c>
      <c r="F115" s="153">
        <v>4</v>
      </c>
      <c r="G115" s="110"/>
      <c r="H115" s="110"/>
      <c r="I115" s="111">
        <v>169.20615</v>
      </c>
      <c r="J115" s="111">
        <v>0</v>
      </c>
      <c r="K115" s="111">
        <v>125</v>
      </c>
      <c r="L115" s="111">
        <f t="shared" si="5"/>
        <v>676.8246</v>
      </c>
      <c r="M115" s="111">
        <f t="shared" si="6"/>
        <v>0</v>
      </c>
      <c r="N115" s="111">
        <f t="shared" si="7"/>
        <v>500</v>
      </c>
      <c r="O115" s="149"/>
      <c r="P115" s="150" t="s">
        <v>79</v>
      </c>
      <c r="Q115" s="99">
        <f t="shared" ref="Q115:Q124" si="10">I115*1.048</f>
        <v>177.3280452</v>
      </c>
      <c r="U115" s="111">
        <v>161.45625</v>
      </c>
      <c r="V115" s="99">
        <f t="shared" si="8"/>
        <v>7.7499</v>
      </c>
      <c r="W115" s="99">
        <f t="shared" si="9"/>
        <v>169.20615</v>
      </c>
    </row>
    <row r="116" ht="22" customHeight="1" spans="1:23">
      <c r="A116" s="108">
        <v>112</v>
      </c>
      <c r="B116" s="108" t="s">
        <v>331</v>
      </c>
      <c r="C116" s="138" t="s">
        <v>326</v>
      </c>
      <c r="D116" s="115" t="s">
        <v>332</v>
      </c>
      <c r="E116" s="108" t="s">
        <v>305</v>
      </c>
      <c r="F116" s="153">
        <v>4</v>
      </c>
      <c r="G116" s="110"/>
      <c r="H116" s="110"/>
      <c r="I116" s="111">
        <v>101.52369</v>
      </c>
      <c r="J116" s="111">
        <v>0</v>
      </c>
      <c r="K116" s="111">
        <v>75</v>
      </c>
      <c r="L116" s="111">
        <f t="shared" si="5"/>
        <v>406.09476</v>
      </c>
      <c r="M116" s="111">
        <f t="shared" si="6"/>
        <v>0</v>
      </c>
      <c r="N116" s="111">
        <f t="shared" si="7"/>
        <v>300</v>
      </c>
      <c r="O116" s="149"/>
      <c r="P116" s="150" t="s">
        <v>79</v>
      </c>
      <c r="Q116" s="99">
        <f t="shared" si="10"/>
        <v>106.39682712</v>
      </c>
      <c r="U116" s="111">
        <v>96.87375</v>
      </c>
      <c r="V116" s="99">
        <f t="shared" si="8"/>
        <v>4.64994</v>
      </c>
      <c r="W116" s="99">
        <f t="shared" si="9"/>
        <v>101.52369</v>
      </c>
    </row>
    <row r="117" ht="22" customHeight="1" spans="1:23">
      <c r="A117" s="108">
        <v>113</v>
      </c>
      <c r="B117" s="108" t="s">
        <v>333</v>
      </c>
      <c r="C117" s="138" t="s">
        <v>334</v>
      </c>
      <c r="D117" s="135" t="s">
        <v>335</v>
      </c>
      <c r="E117" s="108" t="s">
        <v>336</v>
      </c>
      <c r="F117" s="108">
        <v>1</v>
      </c>
      <c r="G117" s="110"/>
      <c r="H117" s="110"/>
      <c r="I117" s="111">
        <v>135.36492</v>
      </c>
      <c r="J117" s="111">
        <v>0</v>
      </c>
      <c r="K117" s="111">
        <v>100</v>
      </c>
      <c r="L117" s="111">
        <f t="shared" si="5"/>
        <v>135.36492</v>
      </c>
      <c r="M117" s="111">
        <f t="shared" si="6"/>
        <v>0</v>
      </c>
      <c r="N117" s="111">
        <f t="shared" si="7"/>
        <v>100</v>
      </c>
      <c r="O117" s="149"/>
      <c r="P117" s="150" t="s">
        <v>79</v>
      </c>
      <c r="Q117" s="99">
        <f t="shared" si="10"/>
        <v>141.86243616</v>
      </c>
      <c r="U117" s="111">
        <v>129.165</v>
      </c>
      <c r="V117" s="99">
        <f t="shared" si="8"/>
        <v>6.19992000000002</v>
      </c>
      <c r="W117" s="99">
        <f t="shared" si="9"/>
        <v>135.36492</v>
      </c>
    </row>
    <row r="118" ht="22" customHeight="1" spans="1:23">
      <c r="A118" s="108">
        <v>114</v>
      </c>
      <c r="B118" s="108" t="s">
        <v>337</v>
      </c>
      <c r="C118" s="138" t="s">
        <v>334</v>
      </c>
      <c r="D118" s="135" t="s">
        <v>338</v>
      </c>
      <c r="E118" s="108" t="s">
        <v>336</v>
      </c>
      <c r="F118" s="108">
        <v>8</v>
      </c>
      <c r="G118" s="110"/>
      <c r="H118" s="110"/>
      <c r="I118" s="111">
        <v>40.609476</v>
      </c>
      <c r="J118" s="111">
        <v>0</v>
      </c>
      <c r="K118" s="111">
        <v>30</v>
      </c>
      <c r="L118" s="111">
        <f t="shared" si="5"/>
        <v>324.875808</v>
      </c>
      <c r="M118" s="111">
        <f t="shared" si="6"/>
        <v>0</v>
      </c>
      <c r="N118" s="111">
        <f t="shared" si="7"/>
        <v>240</v>
      </c>
      <c r="O118" s="149"/>
      <c r="P118" s="150" t="s">
        <v>79</v>
      </c>
      <c r="Q118" s="99">
        <f t="shared" si="10"/>
        <v>42.558730848</v>
      </c>
      <c r="U118" s="111">
        <v>38.7495</v>
      </c>
      <c r="V118" s="99">
        <f t="shared" si="8"/>
        <v>1.859976</v>
      </c>
      <c r="W118" s="99">
        <f t="shared" si="9"/>
        <v>40.609476</v>
      </c>
    </row>
    <row r="119" ht="22" customHeight="1" spans="1:23">
      <c r="A119" s="108">
        <v>115</v>
      </c>
      <c r="B119" s="108" t="s">
        <v>339</v>
      </c>
      <c r="C119" s="141" t="s">
        <v>340</v>
      </c>
      <c r="D119" s="115"/>
      <c r="E119" s="108" t="s">
        <v>336</v>
      </c>
      <c r="F119" s="108">
        <v>8</v>
      </c>
      <c r="G119" s="110"/>
      <c r="H119" s="110"/>
      <c r="I119" s="111">
        <v>676.8246</v>
      </c>
      <c r="J119" s="111">
        <v>0</v>
      </c>
      <c r="K119" s="111">
        <v>500</v>
      </c>
      <c r="L119" s="111">
        <f t="shared" si="5"/>
        <v>5414.5968</v>
      </c>
      <c r="M119" s="111">
        <f t="shared" si="6"/>
        <v>0</v>
      </c>
      <c r="N119" s="111">
        <f t="shared" si="7"/>
        <v>4000</v>
      </c>
      <c r="O119" s="149"/>
      <c r="P119" s="150" t="s">
        <v>79</v>
      </c>
      <c r="Q119" s="99">
        <f t="shared" si="10"/>
        <v>709.3121808</v>
      </c>
      <c r="U119" s="111">
        <v>645.825</v>
      </c>
      <c r="V119" s="99">
        <f t="shared" si="8"/>
        <v>30.9996</v>
      </c>
      <c r="W119" s="99">
        <f t="shared" si="9"/>
        <v>676.8246</v>
      </c>
    </row>
    <row r="120" ht="54" customHeight="1" spans="1:23">
      <c r="A120" s="108">
        <v>116</v>
      </c>
      <c r="B120" s="108" t="s">
        <v>341</v>
      </c>
      <c r="C120" s="138" t="s">
        <v>342</v>
      </c>
      <c r="D120" s="115"/>
      <c r="E120" s="108" t="s">
        <v>343</v>
      </c>
      <c r="F120" s="153">
        <v>40</v>
      </c>
      <c r="G120" s="110"/>
      <c r="H120" s="110"/>
      <c r="I120" s="111">
        <v>20.304738</v>
      </c>
      <c r="J120" s="111">
        <v>0</v>
      </c>
      <c r="K120" s="111">
        <v>15</v>
      </c>
      <c r="L120" s="111">
        <f t="shared" si="5"/>
        <v>812.18952</v>
      </c>
      <c r="M120" s="111">
        <f t="shared" si="6"/>
        <v>0</v>
      </c>
      <c r="N120" s="111">
        <f t="shared" si="7"/>
        <v>600</v>
      </c>
      <c r="O120" s="149"/>
      <c r="P120" s="116" t="s">
        <v>295</v>
      </c>
      <c r="Q120" s="99">
        <f t="shared" si="10"/>
        <v>21.279365424</v>
      </c>
      <c r="U120" s="111">
        <v>19.37475</v>
      </c>
      <c r="V120" s="99">
        <f t="shared" si="8"/>
        <v>0.929988000000002</v>
      </c>
      <c r="W120" s="99">
        <f t="shared" si="9"/>
        <v>20.304738</v>
      </c>
    </row>
    <row r="121" ht="22" customHeight="1" spans="1:23">
      <c r="A121" s="108">
        <v>117</v>
      </c>
      <c r="B121" s="108" t="s">
        <v>344</v>
      </c>
      <c r="C121" s="138" t="s">
        <v>345</v>
      </c>
      <c r="D121" s="115"/>
      <c r="E121" s="108" t="s">
        <v>343</v>
      </c>
      <c r="F121" s="153">
        <v>20</v>
      </c>
      <c r="G121" s="110"/>
      <c r="H121" s="110"/>
      <c r="I121" s="111">
        <v>20.304738</v>
      </c>
      <c r="J121" s="111">
        <v>0</v>
      </c>
      <c r="K121" s="111">
        <v>15</v>
      </c>
      <c r="L121" s="111">
        <f t="shared" si="5"/>
        <v>406.09476</v>
      </c>
      <c r="M121" s="111">
        <f t="shared" si="6"/>
        <v>0</v>
      </c>
      <c r="N121" s="111">
        <f t="shared" si="7"/>
        <v>300</v>
      </c>
      <c r="O121" s="149"/>
      <c r="P121" s="150" t="s">
        <v>79</v>
      </c>
      <c r="Q121" s="99">
        <f t="shared" si="10"/>
        <v>21.279365424</v>
      </c>
      <c r="U121" s="111">
        <v>19.37475</v>
      </c>
      <c r="V121" s="99">
        <f t="shared" si="8"/>
        <v>0.929988000000002</v>
      </c>
      <c r="W121" s="99">
        <f t="shared" si="9"/>
        <v>20.304738</v>
      </c>
    </row>
    <row r="122" ht="22" customHeight="1" spans="1:23">
      <c r="A122" s="108">
        <v>118</v>
      </c>
      <c r="B122" s="108" t="s">
        <v>346</v>
      </c>
      <c r="C122" s="138" t="s">
        <v>347</v>
      </c>
      <c r="D122" s="115"/>
      <c r="E122" s="108" t="s">
        <v>343</v>
      </c>
      <c r="F122" s="153">
        <v>30</v>
      </c>
      <c r="G122" s="110"/>
      <c r="H122" s="110"/>
      <c r="I122" s="111">
        <v>40.609476</v>
      </c>
      <c r="J122" s="111">
        <v>0</v>
      </c>
      <c r="K122" s="111">
        <v>30</v>
      </c>
      <c r="L122" s="111">
        <f t="shared" si="5"/>
        <v>1218.28428</v>
      </c>
      <c r="M122" s="111">
        <f t="shared" si="6"/>
        <v>0</v>
      </c>
      <c r="N122" s="111">
        <f t="shared" si="7"/>
        <v>900</v>
      </c>
      <c r="O122" s="149"/>
      <c r="P122" s="150" t="s">
        <v>79</v>
      </c>
      <c r="Q122" s="99">
        <f t="shared" si="10"/>
        <v>42.558730848</v>
      </c>
      <c r="U122" s="111">
        <v>38.7495</v>
      </c>
      <c r="V122" s="99">
        <f t="shared" si="8"/>
        <v>1.859976</v>
      </c>
      <c r="W122" s="99">
        <f t="shared" si="9"/>
        <v>40.609476</v>
      </c>
    </row>
    <row r="123" ht="22" customHeight="1" spans="1:23">
      <c r="A123" s="108">
        <v>119</v>
      </c>
      <c r="B123" s="108">
        <v>3.2</v>
      </c>
      <c r="C123" s="138" t="s">
        <v>316</v>
      </c>
      <c r="D123" s="115"/>
      <c r="E123" s="108"/>
      <c r="F123" s="148"/>
      <c r="G123" s="110"/>
      <c r="H123" s="110"/>
      <c r="I123" s="111">
        <v>0</v>
      </c>
      <c r="J123" s="111">
        <v>0</v>
      </c>
      <c r="K123" s="111">
        <v>0</v>
      </c>
      <c r="L123" s="111">
        <f t="shared" si="5"/>
        <v>0</v>
      </c>
      <c r="M123" s="111">
        <f t="shared" si="6"/>
        <v>0</v>
      </c>
      <c r="N123" s="111">
        <f t="shared" si="7"/>
        <v>0</v>
      </c>
      <c r="O123" s="149"/>
      <c r="P123" s="150"/>
      <c r="Q123" s="99">
        <f t="shared" si="10"/>
        <v>0</v>
      </c>
      <c r="U123" s="111">
        <v>0</v>
      </c>
      <c r="V123" s="99">
        <f t="shared" si="8"/>
        <v>0</v>
      </c>
      <c r="W123" s="99">
        <f t="shared" si="9"/>
        <v>0</v>
      </c>
    </row>
    <row r="124" ht="165" customHeight="1" spans="1:23">
      <c r="A124" s="108">
        <v>120</v>
      </c>
      <c r="B124" s="108" t="s">
        <v>348</v>
      </c>
      <c r="C124" s="151" t="s">
        <v>349</v>
      </c>
      <c r="D124" s="115" t="s">
        <v>350</v>
      </c>
      <c r="E124" s="137" t="s">
        <v>351</v>
      </c>
      <c r="F124" s="110">
        <v>10.5</v>
      </c>
      <c r="G124" s="110"/>
      <c r="H124" s="110"/>
      <c r="I124" s="111">
        <v>9113.17370707965</v>
      </c>
      <c r="J124" s="111">
        <v>4500</v>
      </c>
      <c r="K124" s="111">
        <v>2600</v>
      </c>
      <c r="L124" s="111">
        <f t="shared" si="5"/>
        <v>95688.3239243363</v>
      </c>
      <c r="M124" s="111">
        <f t="shared" si="6"/>
        <v>47250</v>
      </c>
      <c r="N124" s="111">
        <f t="shared" si="7"/>
        <v>27300</v>
      </c>
      <c r="O124" s="149"/>
      <c r="P124" s="116" t="s">
        <v>352</v>
      </c>
      <c r="Q124" s="99">
        <f t="shared" si="10"/>
        <v>9550.60604501947</v>
      </c>
      <c r="U124" s="111">
        <v>8695.7764380531</v>
      </c>
      <c r="V124" s="99">
        <f t="shared" si="8"/>
        <v>417.397269026549</v>
      </c>
      <c r="W124" s="99">
        <f t="shared" si="9"/>
        <v>4613.17370707965</v>
      </c>
    </row>
    <row r="125" s="100" customFormat="1" ht="149" customHeight="1" spans="1:23">
      <c r="A125" s="154">
        <v>121</v>
      </c>
      <c r="B125" s="154" t="s">
        <v>353</v>
      </c>
      <c r="C125" s="155" t="s">
        <v>354</v>
      </c>
      <c r="D125" s="156" t="s">
        <v>350</v>
      </c>
      <c r="E125" s="157" t="s">
        <v>351</v>
      </c>
      <c r="F125" s="158">
        <v>0.25</v>
      </c>
      <c r="G125" s="159"/>
      <c r="H125" s="159"/>
      <c r="I125" s="130">
        <v>34500</v>
      </c>
      <c r="J125" s="130">
        <v>29000</v>
      </c>
      <c r="K125" s="130">
        <v>3800</v>
      </c>
      <c r="L125" s="130">
        <f t="shared" si="5"/>
        <v>8625</v>
      </c>
      <c r="M125" s="130">
        <f t="shared" si="6"/>
        <v>7250</v>
      </c>
      <c r="N125" s="130">
        <f t="shared" si="7"/>
        <v>950</v>
      </c>
      <c r="O125" s="160"/>
      <c r="P125" s="161" t="s">
        <v>355</v>
      </c>
      <c r="Q125" s="100" t="s">
        <v>356</v>
      </c>
      <c r="S125" s="100">
        <v>34500</v>
      </c>
      <c r="U125" s="111">
        <v>39199.862920354</v>
      </c>
      <c r="V125" s="99">
        <f t="shared" si="8"/>
        <v>-4699.862920354</v>
      </c>
      <c r="W125" s="99">
        <f t="shared" si="9"/>
        <v>5500</v>
      </c>
    </row>
    <row r="126" ht="22" customHeight="1" spans="1:23">
      <c r="A126" s="108">
        <v>122</v>
      </c>
      <c r="B126" s="108">
        <v>4</v>
      </c>
      <c r="C126" s="138" t="s">
        <v>357</v>
      </c>
      <c r="D126" s="115"/>
      <c r="E126" s="108"/>
      <c r="F126" s="108"/>
      <c r="G126" s="110"/>
      <c r="H126" s="110"/>
      <c r="I126" s="111">
        <v>0</v>
      </c>
      <c r="J126" s="111">
        <v>0</v>
      </c>
      <c r="K126" s="111">
        <v>0</v>
      </c>
      <c r="L126" s="111">
        <f>SUM(L127:L134)</f>
        <v>29099.2650812389</v>
      </c>
      <c r="M126" s="111">
        <f>SUM(M127:M134)</f>
        <v>13500</v>
      </c>
      <c r="N126" s="111">
        <f>SUM(N127:N134)</f>
        <v>9100</v>
      </c>
      <c r="O126" s="149"/>
      <c r="P126" s="150"/>
      <c r="U126" s="111">
        <v>0</v>
      </c>
      <c r="V126" s="99">
        <f t="shared" si="8"/>
        <v>0</v>
      </c>
      <c r="W126" s="99">
        <f t="shared" si="9"/>
        <v>0</v>
      </c>
    </row>
    <row r="127" ht="22" customHeight="1" spans="1:23">
      <c r="A127" s="108">
        <v>123</v>
      </c>
      <c r="B127" s="108" t="s">
        <v>358</v>
      </c>
      <c r="C127" s="138" t="s">
        <v>324</v>
      </c>
      <c r="D127" s="115"/>
      <c r="E127" s="108"/>
      <c r="F127" s="108"/>
      <c r="G127" s="110"/>
      <c r="H127" s="110"/>
      <c r="I127" s="111">
        <v>0</v>
      </c>
      <c r="J127" s="111">
        <v>0</v>
      </c>
      <c r="K127" s="111">
        <v>0</v>
      </c>
      <c r="L127" s="111">
        <f t="shared" si="5"/>
        <v>0</v>
      </c>
      <c r="M127" s="111">
        <f t="shared" si="6"/>
        <v>0</v>
      </c>
      <c r="N127" s="111">
        <f t="shared" si="7"/>
        <v>0</v>
      </c>
      <c r="O127" s="149"/>
      <c r="P127" s="150"/>
      <c r="U127" s="111">
        <v>0</v>
      </c>
      <c r="V127" s="99">
        <f t="shared" si="8"/>
        <v>0</v>
      </c>
      <c r="W127" s="99">
        <f t="shared" si="9"/>
        <v>0</v>
      </c>
    </row>
    <row r="128" ht="116" customHeight="1" spans="1:23">
      <c r="A128" s="108">
        <v>124</v>
      </c>
      <c r="B128" s="108" t="s">
        <v>359</v>
      </c>
      <c r="C128" s="138" t="s">
        <v>360</v>
      </c>
      <c r="D128" s="115" t="s">
        <v>361</v>
      </c>
      <c r="E128" s="108" t="s">
        <v>336</v>
      </c>
      <c r="F128" s="108">
        <v>1</v>
      </c>
      <c r="G128" s="110"/>
      <c r="H128" s="110"/>
      <c r="I128" s="149">
        <v>270.72984</v>
      </c>
      <c r="J128" s="111">
        <v>0</v>
      </c>
      <c r="K128" s="111">
        <v>200</v>
      </c>
      <c r="L128" s="111">
        <f t="shared" si="5"/>
        <v>270.72984</v>
      </c>
      <c r="M128" s="111">
        <f t="shared" si="6"/>
        <v>0</v>
      </c>
      <c r="N128" s="111">
        <f t="shared" si="7"/>
        <v>200</v>
      </c>
      <c r="O128" s="149"/>
      <c r="P128" s="116" t="s">
        <v>328</v>
      </c>
      <c r="U128" s="111">
        <v>258.33</v>
      </c>
      <c r="V128" s="99">
        <f t="shared" si="8"/>
        <v>12.39984</v>
      </c>
      <c r="W128" s="99">
        <f t="shared" si="9"/>
        <v>270.72984</v>
      </c>
    </row>
    <row r="129" ht="22" customHeight="1" spans="1:23">
      <c r="A129" s="108">
        <v>125</v>
      </c>
      <c r="B129" s="108" t="s">
        <v>362</v>
      </c>
      <c r="C129" s="138" t="s">
        <v>363</v>
      </c>
      <c r="D129" s="115" t="s">
        <v>364</v>
      </c>
      <c r="E129" s="108" t="s">
        <v>336</v>
      </c>
      <c r="F129" s="108">
        <v>4</v>
      </c>
      <c r="G129" s="110"/>
      <c r="H129" s="110"/>
      <c r="I129" s="149">
        <v>108.291936</v>
      </c>
      <c r="J129" s="111">
        <v>0</v>
      </c>
      <c r="K129" s="111">
        <v>80</v>
      </c>
      <c r="L129" s="111">
        <f t="shared" si="5"/>
        <v>433.167744</v>
      </c>
      <c r="M129" s="111">
        <f t="shared" si="6"/>
        <v>0</v>
      </c>
      <c r="N129" s="111">
        <f t="shared" si="7"/>
        <v>320</v>
      </c>
      <c r="O129" s="149"/>
      <c r="P129" s="150" t="s">
        <v>79</v>
      </c>
      <c r="U129" s="111">
        <v>103.332</v>
      </c>
      <c r="V129" s="99">
        <f t="shared" si="8"/>
        <v>4.95993600000001</v>
      </c>
      <c r="W129" s="99">
        <f t="shared" si="9"/>
        <v>108.291936</v>
      </c>
    </row>
    <row r="130" ht="22" customHeight="1" spans="1:23">
      <c r="A130" s="108">
        <v>126</v>
      </c>
      <c r="B130" s="108" t="s">
        <v>365</v>
      </c>
      <c r="C130" s="138" t="s">
        <v>363</v>
      </c>
      <c r="D130" s="115" t="s">
        <v>366</v>
      </c>
      <c r="E130" s="108" t="s">
        <v>336</v>
      </c>
      <c r="F130" s="108">
        <v>2</v>
      </c>
      <c r="G130" s="110"/>
      <c r="H130" s="110"/>
      <c r="I130" s="149">
        <v>67.68246</v>
      </c>
      <c r="J130" s="111">
        <v>0</v>
      </c>
      <c r="K130" s="111">
        <v>50</v>
      </c>
      <c r="L130" s="111">
        <f t="shared" si="5"/>
        <v>135.36492</v>
      </c>
      <c r="M130" s="111">
        <f t="shared" si="6"/>
        <v>0</v>
      </c>
      <c r="N130" s="111">
        <f t="shared" si="7"/>
        <v>100</v>
      </c>
      <c r="O130" s="149"/>
      <c r="P130" s="150" t="s">
        <v>79</v>
      </c>
      <c r="U130" s="111">
        <v>64.5825</v>
      </c>
      <c r="V130" s="99">
        <f t="shared" si="8"/>
        <v>3.09996000000001</v>
      </c>
      <c r="W130" s="99">
        <f t="shared" si="9"/>
        <v>67.68246</v>
      </c>
    </row>
    <row r="131" ht="22" customHeight="1" spans="1:23">
      <c r="A131" s="108">
        <v>127</v>
      </c>
      <c r="B131" s="108" t="s">
        <v>367</v>
      </c>
      <c r="C131" s="138" t="s">
        <v>363</v>
      </c>
      <c r="D131" s="115" t="s">
        <v>338</v>
      </c>
      <c r="E131" s="108" t="s">
        <v>336</v>
      </c>
      <c r="F131" s="108">
        <v>6</v>
      </c>
      <c r="G131" s="110"/>
      <c r="H131" s="110"/>
      <c r="I131" s="149">
        <v>40.609476</v>
      </c>
      <c r="J131" s="111">
        <v>0</v>
      </c>
      <c r="K131" s="111">
        <v>30</v>
      </c>
      <c r="L131" s="111">
        <f t="shared" si="5"/>
        <v>243.656856</v>
      </c>
      <c r="M131" s="111">
        <f t="shared" si="6"/>
        <v>0</v>
      </c>
      <c r="N131" s="111">
        <f t="shared" si="7"/>
        <v>180</v>
      </c>
      <c r="O131" s="149"/>
      <c r="P131" s="150" t="s">
        <v>79</v>
      </c>
      <c r="U131" s="111">
        <v>38.7495</v>
      </c>
      <c r="V131" s="99">
        <f t="shared" si="8"/>
        <v>1.859976</v>
      </c>
      <c r="W131" s="99">
        <f t="shared" si="9"/>
        <v>40.609476</v>
      </c>
    </row>
    <row r="132" ht="22" customHeight="1" spans="1:23">
      <c r="A132" s="108">
        <v>128</v>
      </c>
      <c r="B132" s="108" t="s">
        <v>368</v>
      </c>
      <c r="C132" s="138" t="s">
        <v>363</v>
      </c>
      <c r="D132" s="115" t="s">
        <v>369</v>
      </c>
      <c r="E132" s="108" t="s">
        <v>336</v>
      </c>
      <c r="F132" s="108">
        <v>20</v>
      </c>
      <c r="G132" s="110"/>
      <c r="H132" s="110"/>
      <c r="I132" s="149">
        <v>33.84123</v>
      </c>
      <c r="J132" s="111">
        <v>0</v>
      </c>
      <c r="K132" s="111">
        <v>25</v>
      </c>
      <c r="L132" s="111">
        <f t="shared" si="5"/>
        <v>676.8246</v>
      </c>
      <c r="M132" s="111">
        <f t="shared" si="6"/>
        <v>0</v>
      </c>
      <c r="N132" s="111">
        <f t="shared" si="7"/>
        <v>500</v>
      </c>
      <c r="O132" s="149"/>
      <c r="P132" s="150" t="s">
        <v>79</v>
      </c>
      <c r="U132" s="111">
        <v>32.29125</v>
      </c>
      <c r="V132" s="99">
        <f t="shared" si="8"/>
        <v>1.54998000000001</v>
      </c>
      <c r="W132" s="99">
        <f t="shared" si="9"/>
        <v>33.84123</v>
      </c>
    </row>
    <row r="133" ht="22" customHeight="1" spans="1:23">
      <c r="A133" s="108">
        <v>129</v>
      </c>
      <c r="B133" s="108">
        <v>4.2</v>
      </c>
      <c r="C133" s="138" t="s">
        <v>316</v>
      </c>
      <c r="D133" s="115"/>
      <c r="E133" s="108"/>
      <c r="F133" s="108"/>
      <c r="G133" s="110"/>
      <c r="H133" s="110"/>
      <c r="I133" s="149">
        <v>0</v>
      </c>
      <c r="J133" s="111">
        <v>0</v>
      </c>
      <c r="K133" s="111">
        <v>0</v>
      </c>
      <c r="L133" s="111">
        <f t="shared" si="5"/>
        <v>0</v>
      </c>
      <c r="M133" s="111">
        <f t="shared" si="6"/>
        <v>0</v>
      </c>
      <c r="N133" s="111">
        <f t="shared" si="7"/>
        <v>0</v>
      </c>
      <c r="O133" s="149"/>
      <c r="P133" s="150"/>
      <c r="U133" s="111">
        <v>0</v>
      </c>
      <c r="V133" s="99">
        <f t="shared" si="8"/>
        <v>0</v>
      </c>
      <c r="W133" s="99">
        <f t="shared" si="9"/>
        <v>0</v>
      </c>
    </row>
    <row r="134" ht="150" customHeight="1" spans="1:23">
      <c r="A134" s="108">
        <v>130</v>
      </c>
      <c r="B134" s="108" t="s">
        <v>370</v>
      </c>
      <c r="C134" s="151" t="s">
        <v>349</v>
      </c>
      <c r="D134" s="115" t="s">
        <v>350</v>
      </c>
      <c r="E134" s="137" t="s">
        <v>351</v>
      </c>
      <c r="F134" s="110">
        <v>3</v>
      </c>
      <c r="G134" s="110"/>
      <c r="H134" s="110"/>
      <c r="I134" s="149">
        <v>9113.17370707965</v>
      </c>
      <c r="J134" s="111">
        <v>4500</v>
      </c>
      <c r="K134" s="111">
        <v>2600</v>
      </c>
      <c r="L134" s="111">
        <f t="shared" si="5"/>
        <v>27339.5211212389</v>
      </c>
      <c r="M134" s="111">
        <f t="shared" si="6"/>
        <v>13500</v>
      </c>
      <c r="N134" s="111">
        <f t="shared" si="7"/>
        <v>7800</v>
      </c>
      <c r="O134" s="149"/>
      <c r="P134" s="116" t="s">
        <v>352</v>
      </c>
      <c r="U134" s="111">
        <v>8695.7764380531</v>
      </c>
      <c r="V134" s="99">
        <f t="shared" si="8"/>
        <v>417.397269026549</v>
      </c>
      <c r="W134" s="99">
        <f t="shared" si="9"/>
        <v>4613.17370707965</v>
      </c>
    </row>
    <row r="135" ht="22" customHeight="1" spans="1:23">
      <c r="A135" s="108">
        <v>131</v>
      </c>
      <c r="B135" s="108">
        <v>5</v>
      </c>
      <c r="C135" s="138" t="s">
        <v>371</v>
      </c>
      <c r="D135" s="115"/>
      <c r="E135" s="108"/>
      <c r="F135" s="108"/>
      <c r="G135" s="110"/>
      <c r="H135" s="110"/>
      <c r="I135" s="111">
        <v>0</v>
      </c>
      <c r="J135" s="111">
        <v>0</v>
      </c>
      <c r="K135" s="111">
        <v>0</v>
      </c>
      <c r="L135" s="111">
        <f>SUM(L136:L146)</f>
        <v>236098.102825593</v>
      </c>
      <c r="M135" s="111">
        <f>SUM(M136:M146)</f>
        <v>132388</v>
      </c>
      <c r="N135" s="111">
        <f>SUM(N136:N146)</f>
        <v>53648</v>
      </c>
      <c r="O135" s="149"/>
      <c r="P135" s="150"/>
      <c r="U135" s="111">
        <v>0</v>
      </c>
      <c r="V135" s="99">
        <f t="shared" ref="V135:V198" si="11">I135-U135</f>
        <v>0</v>
      </c>
      <c r="W135" s="99">
        <f t="shared" ref="W135:W198" si="12">I135-J135</f>
        <v>0</v>
      </c>
    </row>
    <row r="136" ht="22" customHeight="1" spans="1:23">
      <c r="A136" s="108">
        <v>132</v>
      </c>
      <c r="B136" s="108">
        <v>5.1</v>
      </c>
      <c r="C136" s="138" t="s">
        <v>316</v>
      </c>
      <c r="D136" s="115"/>
      <c r="E136" s="108"/>
      <c r="F136" s="108"/>
      <c r="G136" s="110"/>
      <c r="H136" s="110"/>
      <c r="I136" s="111">
        <v>0</v>
      </c>
      <c r="J136" s="111">
        <v>0</v>
      </c>
      <c r="K136" s="111">
        <v>0</v>
      </c>
      <c r="L136" s="111">
        <f t="shared" ref="L135:L198" si="13">F136*I136</f>
        <v>0</v>
      </c>
      <c r="M136" s="111">
        <f t="shared" ref="M135:M198" si="14">F136*J136</f>
        <v>0</v>
      </c>
      <c r="N136" s="111">
        <f t="shared" ref="N135:N198" si="15">F136*K136</f>
        <v>0</v>
      </c>
      <c r="O136" s="149"/>
      <c r="P136" s="150"/>
      <c r="U136" s="111">
        <v>0</v>
      </c>
      <c r="V136" s="99">
        <f t="shared" si="11"/>
        <v>0</v>
      </c>
      <c r="W136" s="99">
        <f t="shared" si="12"/>
        <v>0</v>
      </c>
    </row>
    <row r="137" ht="141" customHeight="1" spans="1:23">
      <c r="A137" s="108">
        <v>133</v>
      </c>
      <c r="B137" s="108" t="s">
        <v>372</v>
      </c>
      <c r="C137" s="115" t="s">
        <v>373</v>
      </c>
      <c r="D137" s="115" t="s">
        <v>350</v>
      </c>
      <c r="E137" s="137" t="s">
        <v>351</v>
      </c>
      <c r="F137" s="110">
        <v>7.37</v>
      </c>
      <c r="G137" s="110"/>
      <c r="H137" s="110"/>
      <c r="I137" s="111">
        <v>8394.42191946903</v>
      </c>
      <c r="J137" s="111">
        <v>3900</v>
      </c>
      <c r="K137" s="111">
        <v>2600</v>
      </c>
      <c r="L137" s="111">
        <f t="shared" si="13"/>
        <v>61866.8895464868</v>
      </c>
      <c r="M137" s="111">
        <f t="shared" si="14"/>
        <v>28743</v>
      </c>
      <c r="N137" s="111">
        <f t="shared" si="15"/>
        <v>19162</v>
      </c>
      <c r="O137" s="149"/>
      <c r="P137" s="116" t="s">
        <v>352</v>
      </c>
      <c r="Q137" s="99">
        <f>I137*1.048</f>
        <v>8797.35417160354</v>
      </c>
      <c r="U137" s="111">
        <v>8009.94457964602</v>
      </c>
      <c r="V137" s="99">
        <f t="shared" si="11"/>
        <v>384.47733982301</v>
      </c>
      <c r="W137" s="99">
        <f t="shared" si="12"/>
        <v>4494.42191946903</v>
      </c>
    </row>
    <row r="138" s="99" customFormat="1" ht="22" customHeight="1" spans="1:23">
      <c r="A138" s="108">
        <v>134</v>
      </c>
      <c r="B138" s="108" t="s">
        <v>374</v>
      </c>
      <c r="C138" s="115" t="s">
        <v>375</v>
      </c>
      <c r="D138" s="115" t="s">
        <v>350</v>
      </c>
      <c r="E138" s="137" t="s">
        <v>351</v>
      </c>
      <c r="F138" s="110">
        <v>1.27</v>
      </c>
      <c r="G138" s="110"/>
      <c r="H138" s="110"/>
      <c r="I138" s="111">
        <v>9352.75763628318</v>
      </c>
      <c r="J138" s="111">
        <v>4700</v>
      </c>
      <c r="K138" s="111">
        <v>2600</v>
      </c>
      <c r="L138" s="111">
        <f t="shared" si="13"/>
        <v>11878.0021980796</v>
      </c>
      <c r="M138" s="111">
        <f t="shared" si="14"/>
        <v>5969</v>
      </c>
      <c r="N138" s="111">
        <f t="shared" si="15"/>
        <v>3302</v>
      </c>
      <c r="O138" s="149"/>
      <c r="P138" s="150" t="s">
        <v>79</v>
      </c>
      <c r="Q138" s="99">
        <f t="shared" ref="Q138:Q146" si="16">I138*1.048</f>
        <v>9801.69000282477</v>
      </c>
      <c r="U138" s="111">
        <v>8924.38705752212</v>
      </c>
      <c r="V138" s="99">
        <f t="shared" si="11"/>
        <v>428.37057876106</v>
      </c>
      <c r="W138" s="99">
        <f t="shared" si="12"/>
        <v>4652.75763628318</v>
      </c>
    </row>
    <row r="139" s="99" customFormat="1" ht="166" customHeight="1" spans="1:23">
      <c r="A139" s="108">
        <v>135</v>
      </c>
      <c r="B139" s="108" t="s">
        <v>376</v>
      </c>
      <c r="C139" s="115" t="s">
        <v>377</v>
      </c>
      <c r="D139" s="115" t="s">
        <v>350</v>
      </c>
      <c r="E139" s="137" t="s">
        <v>351</v>
      </c>
      <c r="F139" s="110">
        <v>6.84</v>
      </c>
      <c r="G139" s="110"/>
      <c r="H139" s="110"/>
      <c r="I139" s="111">
        <v>8394.42191946903</v>
      </c>
      <c r="J139" s="111">
        <v>3900</v>
      </c>
      <c r="K139" s="111">
        <v>2600</v>
      </c>
      <c r="L139" s="111">
        <f t="shared" si="13"/>
        <v>57417.8459291682</v>
      </c>
      <c r="M139" s="111">
        <f t="shared" si="14"/>
        <v>26676</v>
      </c>
      <c r="N139" s="111">
        <f t="shared" si="15"/>
        <v>17784</v>
      </c>
      <c r="O139" s="149"/>
      <c r="P139" s="116" t="s">
        <v>378</v>
      </c>
      <c r="Q139" s="99">
        <f t="shared" si="16"/>
        <v>8797.35417160354</v>
      </c>
      <c r="U139" s="111">
        <v>8009.94457964602</v>
      </c>
      <c r="V139" s="99">
        <f t="shared" si="11"/>
        <v>384.47733982301</v>
      </c>
      <c r="W139" s="99">
        <f t="shared" si="12"/>
        <v>4494.42191946903</v>
      </c>
    </row>
    <row r="140" ht="68" customHeight="1" spans="1:23">
      <c r="A140" s="108">
        <v>136</v>
      </c>
      <c r="B140" s="108" t="s">
        <v>379</v>
      </c>
      <c r="C140" s="115" t="s">
        <v>380</v>
      </c>
      <c r="D140" s="115" t="s">
        <v>381</v>
      </c>
      <c r="E140" s="108" t="s">
        <v>382</v>
      </c>
      <c r="F140" s="108">
        <v>30</v>
      </c>
      <c r="G140" s="110"/>
      <c r="H140" s="110"/>
      <c r="I140" s="111">
        <v>894.72618361062</v>
      </c>
      <c r="J140" s="111">
        <v>600</v>
      </c>
      <c r="K140" s="111">
        <v>130</v>
      </c>
      <c r="L140" s="111">
        <f t="shared" si="13"/>
        <v>26841.7855083186</v>
      </c>
      <c r="M140" s="111">
        <f t="shared" si="14"/>
        <v>18000</v>
      </c>
      <c r="N140" s="111">
        <f t="shared" si="15"/>
        <v>3900</v>
      </c>
      <c r="O140" s="149"/>
      <c r="P140" s="116" t="s">
        <v>383</v>
      </c>
      <c r="Q140" s="99">
        <f t="shared" si="16"/>
        <v>937.67304042393</v>
      </c>
      <c r="U140" s="111">
        <v>853.74635840708</v>
      </c>
      <c r="V140" s="99">
        <f t="shared" si="11"/>
        <v>40.9798252035399</v>
      </c>
      <c r="W140" s="99">
        <f t="shared" si="12"/>
        <v>294.72618361062</v>
      </c>
    </row>
    <row r="141" ht="31" customHeight="1" spans="1:23">
      <c r="A141" s="108">
        <v>137</v>
      </c>
      <c r="B141" s="108" t="s">
        <v>384</v>
      </c>
      <c r="C141" s="115" t="s">
        <v>385</v>
      </c>
      <c r="D141" s="115" t="s">
        <v>386</v>
      </c>
      <c r="E141" s="108" t="s">
        <v>382</v>
      </c>
      <c r="F141" s="108">
        <v>60</v>
      </c>
      <c r="G141" s="110"/>
      <c r="H141" s="110"/>
      <c r="I141" s="111">
        <v>337.993028123894</v>
      </c>
      <c r="J141" s="111">
        <v>220</v>
      </c>
      <c r="K141" s="111">
        <v>55</v>
      </c>
      <c r="L141" s="111">
        <f t="shared" si="13"/>
        <v>20279.5816874336</v>
      </c>
      <c r="M141" s="111">
        <f t="shared" si="14"/>
        <v>13200</v>
      </c>
      <c r="N141" s="111">
        <f t="shared" si="15"/>
        <v>3300</v>
      </c>
      <c r="O141" s="149"/>
      <c r="P141" s="150" t="s">
        <v>79</v>
      </c>
      <c r="Q141" s="99">
        <f t="shared" si="16"/>
        <v>354.21669347384</v>
      </c>
      <c r="U141" s="111">
        <v>322.512431415929</v>
      </c>
      <c r="V141" s="99">
        <f t="shared" si="11"/>
        <v>15.480596707965</v>
      </c>
      <c r="W141" s="99">
        <f t="shared" si="12"/>
        <v>117.993028123894</v>
      </c>
    </row>
    <row r="142" ht="22" customHeight="1" spans="1:23">
      <c r="A142" s="108">
        <v>138</v>
      </c>
      <c r="B142" s="108" t="s">
        <v>387</v>
      </c>
      <c r="C142" s="115" t="s">
        <v>385</v>
      </c>
      <c r="D142" s="115" t="s">
        <v>388</v>
      </c>
      <c r="E142" s="108" t="s">
        <v>382</v>
      </c>
      <c r="F142" s="108">
        <v>80</v>
      </c>
      <c r="G142" s="110"/>
      <c r="H142" s="110"/>
      <c r="I142" s="111">
        <v>500.490828106194</v>
      </c>
      <c r="J142" s="111">
        <v>350</v>
      </c>
      <c r="K142" s="111">
        <v>60</v>
      </c>
      <c r="L142" s="111">
        <f t="shared" si="13"/>
        <v>40039.2662484955</v>
      </c>
      <c r="M142" s="111">
        <f t="shared" si="14"/>
        <v>28000</v>
      </c>
      <c r="N142" s="111">
        <f t="shared" si="15"/>
        <v>4800</v>
      </c>
      <c r="O142" s="149"/>
      <c r="P142" s="150" t="s">
        <v>79</v>
      </c>
      <c r="Q142" s="99">
        <f t="shared" si="16"/>
        <v>524.514387855292</v>
      </c>
      <c r="U142" s="111">
        <v>477.567584070796</v>
      </c>
      <c r="V142" s="99">
        <f t="shared" si="11"/>
        <v>22.923244035398</v>
      </c>
      <c r="W142" s="99">
        <f t="shared" si="12"/>
        <v>150.490828106194</v>
      </c>
    </row>
    <row r="143" ht="33" customHeight="1" spans="1:23">
      <c r="A143" s="108">
        <v>139</v>
      </c>
      <c r="B143" s="108" t="s">
        <v>389</v>
      </c>
      <c r="C143" s="115" t="s">
        <v>390</v>
      </c>
      <c r="D143" s="115"/>
      <c r="E143" s="108" t="s">
        <v>301</v>
      </c>
      <c r="F143" s="108">
        <v>2</v>
      </c>
      <c r="G143" s="110"/>
      <c r="H143" s="110"/>
      <c r="I143" s="111">
        <v>765.47065380531</v>
      </c>
      <c r="J143" s="111">
        <v>300</v>
      </c>
      <c r="K143" s="111">
        <v>300</v>
      </c>
      <c r="L143" s="111">
        <f t="shared" si="13"/>
        <v>1530.94130761062</v>
      </c>
      <c r="M143" s="111">
        <f t="shared" si="14"/>
        <v>600</v>
      </c>
      <c r="N143" s="111">
        <f t="shared" si="15"/>
        <v>600</v>
      </c>
      <c r="O143" s="149"/>
      <c r="P143" s="116" t="s">
        <v>391</v>
      </c>
      <c r="Q143" s="99">
        <f t="shared" si="16"/>
        <v>802.213245187965</v>
      </c>
      <c r="U143" s="111">
        <v>730.41092920354</v>
      </c>
      <c r="V143" s="99">
        <f t="shared" si="11"/>
        <v>35.05972460177</v>
      </c>
      <c r="W143" s="99">
        <f t="shared" si="12"/>
        <v>465.47065380531</v>
      </c>
    </row>
    <row r="144" s="98" customFormat="1" ht="99" customHeight="1" spans="1:23">
      <c r="A144" s="119">
        <v>140</v>
      </c>
      <c r="B144" s="119" t="s">
        <v>392</v>
      </c>
      <c r="C144" s="121" t="s">
        <v>393</v>
      </c>
      <c r="D144" s="121" t="s">
        <v>394</v>
      </c>
      <c r="E144" s="119" t="s">
        <v>395</v>
      </c>
      <c r="F144" s="119">
        <v>2</v>
      </c>
      <c r="G144" s="123"/>
      <c r="H144" s="123"/>
      <c r="I144" s="124">
        <v>3654.85284</v>
      </c>
      <c r="J144" s="124">
        <v>2700</v>
      </c>
      <c r="K144" s="124">
        <v>0</v>
      </c>
      <c r="L144" s="124">
        <f t="shared" si="13"/>
        <v>7309.70568</v>
      </c>
      <c r="M144" s="124">
        <f t="shared" si="14"/>
        <v>5400</v>
      </c>
      <c r="N144" s="124">
        <f t="shared" si="15"/>
        <v>0</v>
      </c>
      <c r="O144" s="162"/>
      <c r="P144" s="126" t="s">
        <v>396</v>
      </c>
      <c r="Q144" s="99">
        <f t="shared" si="16"/>
        <v>3830.28577632</v>
      </c>
      <c r="U144" s="111">
        <v>3487.455</v>
      </c>
      <c r="V144" s="99">
        <f t="shared" si="11"/>
        <v>167.39784</v>
      </c>
      <c r="W144" s="99">
        <f t="shared" si="12"/>
        <v>954.85284</v>
      </c>
    </row>
    <row r="145" s="98" customFormat="1" ht="22" customHeight="1" spans="1:23">
      <c r="A145" s="119">
        <v>141</v>
      </c>
      <c r="B145" s="119" t="s">
        <v>397</v>
      </c>
      <c r="C145" s="121" t="s">
        <v>398</v>
      </c>
      <c r="D145" s="121" t="s">
        <v>399</v>
      </c>
      <c r="E145" s="119" t="s">
        <v>395</v>
      </c>
      <c r="F145" s="119">
        <v>2</v>
      </c>
      <c r="G145" s="123"/>
      <c r="H145" s="123"/>
      <c r="I145" s="124">
        <v>3113.39316</v>
      </c>
      <c r="J145" s="124">
        <v>2300</v>
      </c>
      <c r="K145" s="124">
        <v>0</v>
      </c>
      <c r="L145" s="124">
        <f t="shared" si="13"/>
        <v>6226.78632</v>
      </c>
      <c r="M145" s="124">
        <f t="shared" si="14"/>
        <v>4600</v>
      </c>
      <c r="N145" s="124">
        <f t="shared" si="15"/>
        <v>0</v>
      </c>
      <c r="O145" s="162"/>
      <c r="P145" s="163" t="s">
        <v>79</v>
      </c>
      <c r="Q145" s="99">
        <f t="shared" si="16"/>
        <v>3262.83603168</v>
      </c>
      <c r="U145" s="111">
        <v>2970.795</v>
      </c>
      <c r="V145" s="99">
        <f t="shared" si="11"/>
        <v>142.59816</v>
      </c>
      <c r="W145" s="99">
        <f t="shared" si="12"/>
        <v>813.39316</v>
      </c>
    </row>
    <row r="146" s="98" customFormat="1" ht="88" customHeight="1" spans="1:23">
      <c r="A146" s="119">
        <v>142</v>
      </c>
      <c r="B146" s="119" t="s">
        <v>400</v>
      </c>
      <c r="C146" s="139" t="s">
        <v>401</v>
      </c>
      <c r="D146" s="120" t="s">
        <v>402</v>
      </c>
      <c r="E146" s="119" t="s">
        <v>395</v>
      </c>
      <c r="F146" s="119">
        <v>4</v>
      </c>
      <c r="G146" s="123"/>
      <c r="H146" s="123"/>
      <c r="I146" s="124">
        <v>676.8246</v>
      </c>
      <c r="J146" s="124">
        <v>300</v>
      </c>
      <c r="K146" s="124">
        <v>200</v>
      </c>
      <c r="L146" s="124">
        <f t="shared" si="13"/>
        <v>2707.2984</v>
      </c>
      <c r="M146" s="124">
        <f t="shared" si="14"/>
        <v>1200</v>
      </c>
      <c r="N146" s="124">
        <f t="shared" si="15"/>
        <v>800</v>
      </c>
      <c r="O146" s="162"/>
      <c r="P146" s="126" t="s">
        <v>403</v>
      </c>
      <c r="Q146" s="99">
        <f t="shared" si="16"/>
        <v>709.3121808</v>
      </c>
      <c r="U146" s="111">
        <v>645.825</v>
      </c>
      <c r="V146" s="99">
        <f t="shared" si="11"/>
        <v>30.9996</v>
      </c>
      <c r="W146" s="99">
        <f t="shared" si="12"/>
        <v>376.8246</v>
      </c>
    </row>
    <row r="147" ht="22" customHeight="1" spans="1:23">
      <c r="A147" s="108">
        <v>143</v>
      </c>
      <c r="B147" s="108">
        <v>6</v>
      </c>
      <c r="C147" s="138" t="s">
        <v>404</v>
      </c>
      <c r="D147" s="115"/>
      <c r="E147" s="108"/>
      <c r="F147" s="108"/>
      <c r="G147" s="110"/>
      <c r="H147" s="110"/>
      <c r="I147" s="111">
        <v>0</v>
      </c>
      <c r="J147" s="111">
        <v>0</v>
      </c>
      <c r="K147" s="111">
        <v>0</v>
      </c>
      <c r="L147" s="111">
        <f>SUM(L148:L161)</f>
        <v>671715.637309381</v>
      </c>
      <c r="M147" s="111">
        <f>SUM(M148:M161)</f>
        <v>263900</v>
      </c>
      <c r="N147" s="111">
        <f>SUM(N148:N161)</f>
        <v>219100</v>
      </c>
      <c r="O147" s="149"/>
      <c r="P147" s="150"/>
      <c r="U147" s="111">
        <v>0</v>
      </c>
      <c r="V147" s="99">
        <f t="shared" si="11"/>
        <v>0</v>
      </c>
      <c r="W147" s="99">
        <f t="shared" si="12"/>
        <v>0</v>
      </c>
    </row>
    <row r="148" ht="22" customHeight="1" spans="1:23">
      <c r="A148" s="108">
        <v>144</v>
      </c>
      <c r="B148" s="108" t="s">
        <v>405</v>
      </c>
      <c r="C148" s="138" t="s">
        <v>324</v>
      </c>
      <c r="D148" s="115"/>
      <c r="E148" s="108"/>
      <c r="F148" s="108"/>
      <c r="G148" s="110"/>
      <c r="H148" s="110"/>
      <c r="I148" s="111">
        <v>0</v>
      </c>
      <c r="J148" s="111">
        <v>0</v>
      </c>
      <c r="K148" s="111">
        <v>0</v>
      </c>
      <c r="L148" s="111">
        <f t="shared" si="13"/>
        <v>0</v>
      </c>
      <c r="M148" s="111">
        <f t="shared" si="14"/>
        <v>0</v>
      </c>
      <c r="N148" s="111">
        <f t="shared" si="15"/>
        <v>0</v>
      </c>
      <c r="O148" s="149"/>
      <c r="P148" s="150"/>
      <c r="U148" s="111">
        <v>0</v>
      </c>
      <c r="V148" s="99">
        <f t="shared" si="11"/>
        <v>0</v>
      </c>
      <c r="W148" s="99">
        <f t="shared" si="12"/>
        <v>0</v>
      </c>
    </row>
    <row r="149" ht="113" customHeight="1" spans="1:23">
      <c r="A149" s="108">
        <v>145</v>
      </c>
      <c r="B149" s="108" t="s">
        <v>406</v>
      </c>
      <c r="C149" s="164" t="s">
        <v>407</v>
      </c>
      <c r="D149" s="165"/>
      <c r="E149" s="166" t="s">
        <v>336</v>
      </c>
      <c r="F149" s="166">
        <v>1</v>
      </c>
      <c r="G149" s="110"/>
      <c r="H149" s="110"/>
      <c r="I149" s="111">
        <v>1353.6492</v>
      </c>
      <c r="J149" s="111">
        <v>0</v>
      </c>
      <c r="K149" s="111">
        <v>1000</v>
      </c>
      <c r="L149" s="111">
        <f t="shared" si="13"/>
        <v>1353.6492</v>
      </c>
      <c r="M149" s="111">
        <f t="shared" si="14"/>
        <v>0</v>
      </c>
      <c r="N149" s="111">
        <f t="shared" si="15"/>
        <v>1000</v>
      </c>
      <c r="O149" s="149"/>
      <c r="P149" s="116" t="s">
        <v>408</v>
      </c>
      <c r="Q149" s="99">
        <f>I149*1.048</f>
        <v>1418.6243616</v>
      </c>
      <c r="U149" s="111">
        <v>1291.65</v>
      </c>
      <c r="V149" s="99">
        <f t="shared" si="11"/>
        <v>61.9992</v>
      </c>
      <c r="W149" s="99">
        <f t="shared" si="12"/>
        <v>1353.6492</v>
      </c>
    </row>
    <row r="150" ht="22" customHeight="1" spans="1:23">
      <c r="A150" s="108">
        <v>146</v>
      </c>
      <c r="B150" s="108" t="s">
        <v>409</v>
      </c>
      <c r="C150" s="164" t="s">
        <v>410</v>
      </c>
      <c r="D150" s="165"/>
      <c r="E150" s="166" t="s">
        <v>336</v>
      </c>
      <c r="F150" s="166">
        <v>2</v>
      </c>
      <c r="G150" s="110"/>
      <c r="H150" s="110"/>
      <c r="I150" s="111">
        <v>1353.6492</v>
      </c>
      <c r="J150" s="111">
        <v>0</v>
      </c>
      <c r="K150" s="111">
        <v>1000</v>
      </c>
      <c r="L150" s="111">
        <f t="shared" si="13"/>
        <v>2707.2984</v>
      </c>
      <c r="M150" s="111">
        <f t="shared" si="14"/>
        <v>0</v>
      </c>
      <c r="N150" s="111">
        <f t="shared" si="15"/>
        <v>2000</v>
      </c>
      <c r="O150" s="149"/>
      <c r="P150" s="150" t="s">
        <v>79</v>
      </c>
      <c r="Q150" s="99">
        <f t="shared" ref="Q150:Q160" si="17">I150*1.048</f>
        <v>1418.6243616</v>
      </c>
      <c r="U150" s="111">
        <v>1291.65</v>
      </c>
      <c r="V150" s="99">
        <f t="shared" si="11"/>
        <v>61.9992</v>
      </c>
      <c r="W150" s="99">
        <f t="shared" si="12"/>
        <v>1353.6492</v>
      </c>
    </row>
    <row r="151" ht="124" customHeight="1" spans="1:23">
      <c r="A151" s="108">
        <v>147</v>
      </c>
      <c r="B151" s="108" t="s">
        <v>411</v>
      </c>
      <c r="C151" s="164" t="s">
        <v>412</v>
      </c>
      <c r="D151" s="165"/>
      <c r="E151" s="166" t="s">
        <v>336</v>
      </c>
      <c r="F151" s="166">
        <v>2</v>
      </c>
      <c r="G151" s="110"/>
      <c r="H151" s="110"/>
      <c r="I151" s="111">
        <v>406.09476</v>
      </c>
      <c r="J151" s="111">
        <v>0</v>
      </c>
      <c r="K151" s="111">
        <v>300</v>
      </c>
      <c r="L151" s="111">
        <f t="shared" si="13"/>
        <v>812.18952</v>
      </c>
      <c r="M151" s="111">
        <f t="shared" si="14"/>
        <v>0</v>
      </c>
      <c r="N151" s="111">
        <f t="shared" si="15"/>
        <v>600</v>
      </c>
      <c r="O151" s="149"/>
      <c r="P151" s="116" t="s">
        <v>328</v>
      </c>
      <c r="Q151" s="99">
        <f t="shared" si="17"/>
        <v>425.58730848</v>
      </c>
      <c r="U151" s="111">
        <v>387.495</v>
      </c>
      <c r="V151" s="99">
        <f t="shared" si="11"/>
        <v>18.59976</v>
      </c>
      <c r="W151" s="99">
        <f t="shared" si="12"/>
        <v>406.09476</v>
      </c>
    </row>
    <row r="152" ht="22" customHeight="1" spans="1:23">
      <c r="A152" s="108">
        <v>148</v>
      </c>
      <c r="B152" s="108" t="s">
        <v>413</v>
      </c>
      <c r="C152" s="164" t="s">
        <v>414</v>
      </c>
      <c r="D152" s="165"/>
      <c r="E152" s="166" t="s">
        <v>336</v>
      </c>
      <c r="F152" s="166">
        <v>1</v>
      </c>
      <c r="G152" s="110"/>
      <c r="H152" s="110"/>
      <c r="I152" s="111">
        <v>676.8246</v>
      </c>
      <c r="J152" s="111">
        <v>0</v>
      </c>
      <c r="K152" s="111">
        <v>500</v>
      </c>
      <c r="L152" s="111">
        <f t="shared" si="13"/>
        <v>676.8246</v>
      </c>
      <c r="M152" s="111">
        <f t="shared" si="14"/>
        <v>0</v>
      </c>
      <c r="N152" s="111">
        <f t="shared" si="15"/>
        <v>500</v>
      </c>
      <c r="O152" s="149"/>
      <c r="P152" s="150" t="s">
        <v>79</v>
      </c>
      <c r="Q152" s="99">
        <f t="shared" si="17"/>
        <v>709.3121808</v>
      </c>
      <c r="U152" s="111">
        <v>645.825</v>
      </c>
      <c r="V152" s="99">
        <f t="shared" si="11"/>
        <v>30.9996</v>
      </c>
      <c r="W152" s="99">
        <f t="shared" si="12"/>
        <v>676.8246</v>
      </c>
    </row>
    <row r="153" ht="22" customHeight="1" spans="1:23">
      <c r="A153" s="108">
        <v>149</v>
      </c>
      <c r="B153" s="108" t="s">
        <v>415</v>
      </c>
      <c r="C153" s="164" t="s">
        <v>416</v>
      </c>
      <c r="D153" s="165"/>
      <c r="E153" s="166" t="s">
        <v>336</v>
      </c>
      <c r="F153" s="166">
        <v>2</v>
      </c>
      <c r="G153" s="110"/>
      <c r="H153" s="110"/>
      <c r="I153" s="111">
        <v>676.8246</v>
      </c>
      <c r="J153" s="111">
        <v>0</v>
      </c>
      <c r="K153" s="111">
        <v>500</v>
      </c>
      <c r="L153" s="111">
        <f t="shared" si="13"/>
        <v>1353.6492</v>
      </c>
      <c r="M153" s="111">
        <f t="shared" si="14"/>
        <v>0</v>
      </c>
      <c r="N153" s="111">
        <f t="shared" si="15"/>
        <v>1000</v>
      </c>
      <c r="O153" s="149"/>
      <c r="P153" s="150" t="s">
        <v>79</v>
      </c>
      <c r="Q153" s="99">
        <f t="shared" si="17"/>
        <v>709.3121808</v>
      </c>
      <c r="U153" s="111">
        <v>645.825</v>
      </c>
      <c r="V153" s="99">
        <f t="shared" si="11"/>
        <v>30.9996</v>
      </c>
      <c r="W153" s="99">
        <f t="shared" si="12"/>
        <v>676.8246</v>
      </c>
    </row>
    <row r="154" ht="22" customHeight="1" spans="1:23">
      <c r="A154" s="108">
        <v>150</v>
      </c>
      <c r="B154" s="108" t="s">
        <v>417</v>
      </c>
      <c r="C154" s="165" t="s">
        <v>418</v>
      </c>
      <c r="D154" s="165" t="s">
        <v>419</v>
      </c>
      <c r="E154" s="166" t="s">
        <v>305</v>
      </c>
      <c r="F154" s="166">
        <v>2</v>
      </c>
      <c r="G154" s="110"/>
      <c r="H154" s="110"/>
      <c r="I154" s="111">
        <v>4060.9476</v>
      </c>
      <c r="J154" s="111">
        <v>0</v>
      </c>
      <c r="K154" s="111">
        <v>3000</v>
      </c>
      <c r="L154" s="111">
        <f t="shared" si="13"/>
        <v>8121.8952</v>
      </c>
      <c r="M154" s="111">
        <f t="shared" si="14"/>
        <v>0</v>
      </c>
      <c r="N154" s="111">
        <f t="shared" si="15"/>
        <v>6000</v>
      </c>
      <c r="O154" s="149"/>
      <c r="P154" s="150" t="s">
        <v>79</v>
      </c>
      <c r="Q154" s="99">
        <f t="shared" si="17"/>
        <v>4255.8730848</v>
      </c>
      <c r="U154" s="111">
        <v>3874.95</v>
      </c>
      <c r="V154" s="99">
        <f t="shared" si="11"/>
        <v>185.9976</v>
      </c>
      <c r="W154" s="99">
        <f t="shared" si="12"/>
        <v>4060.9476</v>
      </c>
    </row>
    <row r="155" ht="22" customHeight="1" spans="1:23">
      <c r="A155" s="108">
        <v>151</v>
      </c>
      <c r="B155" s="108" t="s">
        <v>420</v>
      </c>
      <c r="C155" s="165" t="s">
        <v>418</v>
      </c>
      <c r="D155" s="165" t="s">
        <v>421</v>
      </c>
      <c r="E155" s="166" t="s">
        <v>305</v>
      </c>
      <c r="F155" s="166">
        <v>2</v>
      </c>
      <c r="G155" s="110"/>
      <c r="H155" s="110"/>
      <c r="I155" s="111">
        <v>4060.9476</v>
      </c>
      <c r="J155" s="111">
        <v>0</v>
      </c>
      <c r="K155" s="111">
        <v>3000</v>
      </c>
      <c r="L155" s="111">
        <f t="shared" si="13"/>
        <v>8121.8952</v>
      </c>
      <c r="M155" s="111">
        <f t="shared" si="14"/>
        <v>0</v>
      </c>
      <c r="N155" s="111">
        <f t="shared" si="15"/>
        <v>6000</v>
      </c>
      <c r="O155" s="149"/>
      <c r="P155" s="150" t="s">
        <v>79</v>
      </c>
      <c r="Q155" s="99">
        <f t="shared" si="17"/>
        <v>4255.8730848</v>
      </c>
      <c r="U155" s="111">
        <v>3874.95</v>
      </c>
      <c r="V155" s="99">
        <f t="shared" si="11"/>
        <v>185.9976</v>
      </c>
      <c r="W155" s="99">
        <f t="shared" si="12"/>
        <v>4060.9476</v>
      </c>
    </row>
    <row r="156" ht="22" customHeight="1" spans="1:23">
      <c r="A156" s="108">
        <v>152</v>
      </c>
      <c r="B156" s="108" t="s">
        <v>422</v>
      </c>
      <c r="C156" s="165" t="s">
        <v>418</v>
      </c>
      <c r="D156" s="165" t="s">
        <v>423</v>
      </c>
      <c r="E156" s="166" t="s">
        <v>305</v>
      </c>
      <c r="F156" s="166">
        <v>2</v>
      </c>
      <c r="G156" s="110"/>
      <c r="H156" s="110"/>
      <c r="I156" s="111">
        <v>2707.2984</v>
      </c>
      <c r="J156" s="111">
        <v>0</v>
      </c>
      <c r="K156" s="111">
        <v>2000</v>
      </c>
      <c r="L156" s="111">
        <f t="shared" si="13"/>
        <v>5414.5968</v>
      </c>
      <c r="M156" s="111">
        <f t="shared" si="14"/>
        <v>0</v>
      </c>
      <c r="N156" s="111">
        <f t="shared" si="15"/>
        <v>4000</v>
      </c>
      <c r="O156" s="149"/>
      <c r="P156" s="150" t="s">
        <v>79</v>
      </c>
      <c r="Q156" s="99">
        <f t="shared" si="17"/>
        <v>2837.2487232</v>
      </c>
      <c r="U156" s="111">
        <v>2583.3</v>
      </c>
      <c r="V156" s="99">
        <f t="shared" si="11"/>
        <v>123.9984</v>
      </c>
      <c r="W156" s="99">
        <f t="shared" si="12"/>
        <v>2707.2984</v>
      </c>
    </row>
    <row r="157" ht="33" customHeight="1" spans="1:23">
      <c r="A157" s="108">
        <v>153</v>
      </c>
      <c r="B157" s="108" t="s">
        <v>424</v>
      </c>
      <c r="C157" s="165" t="s">
        <v>425</v>
      </c>
      <c r="D157" s="165" t="s">
        <v>426</v>
      </c>
      <c r="E157" s="166" t="s">
        <v>336</v>
      </c>
      <c r="F157" s="166">
        <v>1</v>
      </c>
      <c r="G157" s="110"/>
      <c r="H157" s="110"/>
      <c r="I157" s="111">
        <v>27072.984</v>
      </c>
      <c r="J157" s="111">
        <v>0</v>
      </c>
      <c r="K157" s="111">
        <v>20000</v>
      </c>
      <c r="L157" s="111">
        <f t="shared" si="13"/>
        <v>27072.984</v>
      </c>
      <c r="M157" s="111">
        <f t="shared" si="14"/>
        <v>0</v>
      </c>
      <c r="N157" s="111">
        <f t="shared" si="15"/>
        <v>20000</v>
      </c>
      <c r="O157" s="149"/>
      <c r="P157" s="150" t="s">
        <v>79</v>
      </c>
      <c r="Q157" s="99">
        <f t="shared" si="17"/>
        <v>28372.487232</v>
      </c>
      <c r="U157" s="111">
        <v>25833</v>
      </c>
      <c r="V157" s="99">
        <f t="shared" si="11"/>
        <v>1239.984</v>
      </c>
      <c r="W157" s="99">
        <f t="shared" si="12"/>
        <v>27072.984</v>
      </c>
    </row>
    <row r="158" ht="22" customHeight="1" spans="1:23">
      <c r="A158" s="108">
        <v>154</v>
      </c>
      <c r="B158" s="108" t="s">
        <v>427</v>
      </c>
      <c r="C158" s="115" t="s">
        <v>428</v>
      </c>
      <c r="D158" s="115" t="s">
        <v>429</v>
      </c>
      <c r="E158" s="166" t="s">
        <v>336</v>
      </c>
      <c r="F158" s="166">
        <v>2</v>
      </c>
      <c r="G158" s="110"/>
      <c r="H158" s="110"/>
      <c r="I158" s="111">
        <v>4060.9476</v>
      </c>
      <c r="J158" s="111">
        <v>0</v>
      </c>
      <c r="K158" s="111">
        <v>3000</v>
      </c>
      <c r="L158" s="111">
        <f t="shared" si="13"/>
        <v>8121.8952</v>
      </c>
      <c r="M158" s="111">
        <f t="shared" si="14"/>
        <v>0</v>
      </c>
      <c r="N158" s="111">
        <f t="shared" si="15"/>
        <v>6000</v>
      </c>
      <c r="O158" s="149"/>
      <c r="P158" s="150" t="s">
        <v>79</v>
      </c>
      <c r="Q158" s="99">
        <f t="shared" si="17"/>
        <v>4255.8730848</v>
      </c>
      <c r="U158" s="111">
        <v>3874.95</v>
      </c>
      <c r="V158" s="99">
        <f t="shared" si="11"/>
        <v>185.9976</v>
      </c>
      <c r="W158" s="99">
        <f t="shared" si="12"/>
        <v>4060.9476</v>
      </c>
    </row>
    <row r="159" ht="22" customHeight="1" spans="1:23">
      <c r="A159" s="108">
        <v>155</v>
      </c>
      <c r="B159" s="108" t="s">
        <v>430</v>
      </c>
      <c r="C159" s="115" t="s">
        <v>428</v>
      </c>
      <c r="D159" s="115" t="s">
        <v>431</v>
      </c>
      <c r="E159" s="166" t="s">
        <v>336</v>
      </c>
      <c r="F159" s="166">
        <v>1</v>
      </c>
      <c r="G159" s="110"/>
      <c r="H159" s="110"/>
      <c r="I159" s="111">
        <v>4060.9476</v>
      </c>
      <c r="J159" s="111">
        <v>0</v>
      </c>
      <c r="K159" s="111">
        <v>3000</v>
      </c>
      <c r="L159" s="111">
        <f t="shared" si="13"/>
        <v>4060.9476</v>
      </c>
      <c r="M159" s="111">
        <f t="shared" si="14"/>
        <v>0</v>
      </c>
      <c r="N159" s="111">
        <f t="shared" si="15"/>
        <v>3000</v>
      </c>
      <c r="O159" s="149"/>
      <c r="P159" s="150" t="s">
        <v>79</v>
      </c>
      <c r="Q159" s="99">
        <f t="shared" si="17"/>
        <v>4255.8730848</v>
      </c>
      <c r="U159" s="111">
        <v>3874.95</v>
      </c>
      <c r="V159" s="99">
        <f t="shared" si="11"/>
        <v>185.9976</v>
      </c>
      <c r="W159" s="99">
        <f t="shared" si="12"/>
        <v>4060.9476</v>
      </c>
    </row>
    <row r="160" ht="22" customHeight="1" spans="1:23">
      <c r="A160" s="108">
        <v>156</v>
      </c>
      <c r="B160" s="108">
        <v>6.2</v>
      </c>
      <c r="C160" s="138" t="s">
        <v>316</v>
      </c>
      <c r="D160" s="115"/>
      <c r="E160" s="108"/>
      <c r="F160" s="108"/>
      <c r="G160" s="110"/>
      <c r="H160" s="110"/>
      <c r="I160" s="111">
        <v>0</v>
      </c>
      <c r="J160" s="111">
        <v>0</v>
      </c>
      <c r="K160" s="111">
        <v>0</v>
      </c>
      <c r="L160" s="111">
        <f t="shared" si="13"/>
        <v>0</v>
      </c>
      <c r="M160" s="111">
        <f t="shared" si="14"/>
        <v>0</v>
      </c>
      <c r="N160" s="111">
        <f t="shared" si="15"/>
        <v>0</v>
      </c>
      <c r="O160" s="149"/>
      <c r="P160" s="150"/>
      <c r="Q160" s="99">
        <f t="shared" si="17"/>
        <v>0</v>
      </c>
      <c r="U160" s="111">
        <v>0</v>
      </c>
      <c r="V160" s="99">
        <f t="shared" si="11"/>
        <v>0</v>
      </c>
      <c r="W160" s="99">
        <f t="shared" si="12"/>
        <v>0</v>
      </c>
    </row>
    <row r="161" s="98" customFormat="1" ht="108" customHeight="1" spans="1:23">
      <c r="A161" s="119">
        <v>157</v>
      </c>
      <c r="B161" s="119" t="s">
        <v>432</v>
      </c>
      <c r="C161" s="167" t="s">
        <v>433</v>
      </c>
      <c r="D161" s="167" t="s">
        <v>434</v>
      </c>
      <c r="E161" s="122" t="s">
        <v>351</v>
      </c>
      <c r="F161" s="168">
        <v>65</v>
      </c>
      <c r="G161" s="123"/>
      <c r="H161" s="123"/>
      <c r="I161" s="124">
        <v>9290.73557522124</v>
      </c>
      <c r="J161" s="124">
        <v>4060</v>
      </c>
      <c r="K161" s="124">
        <v>2600</v>
      </c>
      <c r="L161" s="124">
        <f t="shared" si="13"/>
        <v>603897.812389381</v>
      </c>
      <c r="M161" s="124">
        <f t="shared" si="14"/>
        <v>263900</v>
      </c>
      <c r="N161" s="124">
        <f t="shared" si="15"/>
        <v>169000</v>
      </c>
      <c r="O161" s="162"/>
      <c r="P161" s="169" t="s">
        <v>435</v>
      </c>
      <c r="Q161" s="98" t="s">
        <v>436</v>
      </c>
      <c r="T161" s="98" t="s">
        <v>437</v>
      </c>
      <c r="U161" s="111">
        <v>9290.73557522124</v>
      </c>
      <c r="V161" s="99">
        <f t="shared" si="11"/>
        <v>0</v>
      </c>
      <c r="W161" s="99">
        <f t="shared" si="12"/>
        <v>5230.73557522124</v>
      </c>
    </row>
    <row r="162" ht="22" customHeight="1" spans="1:23">
      <c r="A162" s="108">
        <v>158</v>
      </c>
      <c r="B162" s="108">
        <v>7</v>
      </c>
      <c r="C162" s="138" t="s">
        <v>438</v>
      </c>
      <c r="D162" s="115"/>
      <c r="E162" s="108"/>
      <c r="F162" s="108"/>
      <c r="G162" s="110"/>
      <c r="H162" s="110"/>
      <c r="I162" s="111">
        <v>0</v>
      </c>
      <c r="J162" s="111">
        <v>0</v>
      </c>
      <c r="K162" s="111">
        <v>0</v>
      </c>
      <c r="L162" s="111">
        <f>SUM(L163:L256)</f>
        <v>1085578.98394715</v>
      </c>
      <c r="M162" s="111">
        <f>SUM(M163:M256)</f>
        <v>299805</v>
      </c>
      <c r="N162" s="111">
        <f>SUM(N163:N256)</f>
        <v>479773</v>
      </c>
      <c r="O162" s="149"/>
      <c r="P162" s="150"/>
      <c r="U162" s="111">
        <v>0</v>
      </c>
      <c r="V162" s="99">
        <f t="shared" si="11"/>
        <v>0</v>
      </c>
      <c r="W162" s="99">
        <f t="shared" si="12"/>
        <v>0</v>
      </c>
    </row>
    <row r="163" ht="22" customHeight="1" spans="1:23">
      <c r="A163" s="108">
        <v>159</v>
      </c>
      <c r="B163" s="108" t="s">
        <v>439</v>
      </c>
      <c r="C163" s="138" t="s">
        <v>324</v>
      </c>
      <c r="D163" s="115"/>
      <c r="E163" s="108"/>
      <c r="F163" s="108"/>
      <c r="G163" s="110"/>
      <c r="H163" s="110"/>
      <c r="I163" s="111">
        <v>0</v>
      </c>
      <c r="J163" s="111">
        <v>0</v>
      </c>
      <c r="K163" s="111">
        <v>0</v>
      </c>
      <c r="L163" s="111">
        <f t="shared" si="13"/>
        <v>0</v>
      </c>
      <c r="M163" s="111">
        <f t="shared" si="14"/>
        <v>0</v>
      </c>
      <c r="N163" s="111">
        <f t="shared" si="15"/>
        <v>0</v>
      </c>
      <c r="O163" s="149"/>
      <c r="P163" s="150"/>
      <c r="U163" s="111">
        <v>0</v>
      </c>
      <c r="V163" s="99">
        <f t="shared" si="11"/>
        <v>0</v>
      </c>
      <c r="W163" s="99">
        <f t="shared" si="12"/>
        <v>0</v>
      </c>
    </row>
    <row r="164" ht="84" customHeight="1" spans="1:23">
      <c r="A164" s="108">
        <v>160</v>
      </c>
      <c r="B164" s="108" t="s">
        <v>440</v>
      </c>
      <c r="C164" s="115" t="s">
        <v>441</v>
      </c>
      <c r="D164" s="115"/>
      <c r="E164" s="137" t="s">
        <v>336</v>
      </c>
      <c r="F164" s="137">
        <v>2</v>
      </c>
      <c r="G164" s="110"/>
      <c r="H164" s="110"/>
      <c r="I164" s="111">
        <v>1084.986</v>
      </c>
      <c r="J164" s="111">
        <v>0</v>
      </c>
      <c r="K164" s="111">
        <v>800</v>
      </c>
      <c r="L164" s="111">
        <f t="shared" si="13"/>
        <v>2169.972</v>
      </c>
      <c r="M164" s="111">
        <f t="shared" si="14"/>
        <v>0</v>
      </c>
      <c r="N164" s="111">
        <f t="shared" si="15"/>
        <v>1600</v>
      </c>
      <c r="O164" s="149"/>
      <c r="P164" s="116" t="s">
        <v>442</v>
      </c>
      <c r="Q164" s="99">
        <f>I164*1.05</f>
        <v>1139.2353</v>
      </c>
      <c r="U164" s="111">
        <v>1033.32</v>
      </c>
      <c r="V164" s="99">
        <f t="shared" si="11"/>
        <v>51.6660000000002</v>
      </c>
      <c r="W164" s="99">
        <f t="shared" si="12"/>
        <v>1084.986</v>
      </c>
    </row>
    <row r="165" ht="22" customHeight="1" spans="1:23">
      <c r="A165" s="108">
        <v>161</v>
      </c>
      <c r="B165" s="108" t="s">
        <v>443</v>
      </c>
      <c r="C165" s="115" t="s">
        <v>444</v>
      </c>
      <c r="D165" s="115"/>
      <c r="E165" s="137" t="s">
        <v>336</v>
      </c>
      <c r="F165" s="137">
        <v>27</v>
      </c>
      <c r="G165" s="110"/>
      <c r="H165" s="110"/>
      <c r="I165" s="111">
        <v>1084.986</v>
      </c>
      <c r="J165" s="111">
        <v>0</v>
      </c>
      <c r="K165" s="111">
        <v>800</v>
      </c>
      <c r="L165" s="111">
        <f t="shared" si="13"/>
        <v>29294.622</v>
      </c>
      <c r="M165" s="111">
        <f t="shared" si="14"/>
        <v>0</v>
      </c>
      <c r="N165" s="111">
        <f t="shared" si="15"/>
        <v>21600</v>
      </c>
      <c r="O165" s="149"/>
      <c r="P165" s="150" t="s">
        <v>79</v>
      </c>
      <c r="Q165" s="99">
        <f>I165*1.05</f>
        <v>1139.2353</v>
      </c>
      <c r="U165" s="111">
        <v>1033.32</v>
      </c>
      <c r="V165" s="99">
        <f t="shared" si="11"/>
        <v>51.6660000000002</v>
      </c>
      <c r="W165" s="99">
        <f t="shared" si="12"/>
        <v>1084.986</v>
      </c>
    </row>
    <row r="166" ht="22" customHeight="1" spans="1:23">
      <c r="A166" s="108">
        <v>162</v>
      </c>
      <c r="B166" s="108" t="s">
        <v>445</v>
      </c>
      <c r="C166" s="115" t="s">
        <v>446</v>
      </c>
      <c r="D166" s="115"/>
      <c r="E166" s="137" t="s">
        <v>336</v>
      </c>
      <c r="F166" s="137">
        <v>6</v>
      </c>
      <c r="G166" s="110"/>
      <c r="H166" s="110"/>
      <c r="I166" s="111">
        <v>678.11625</v>
      </c>
      <c r="J166" s="111">
        <v>0</v>
      </c>
      <c r="K166" s="111">
        <v>500</v>
      </c>
      <c r="L166" s="111">
        <f t="shared" si="13"/>
        <v>4068.6975</v>
      </c>
      <c r="M166" s="111">
        <f t="shared" si="14"/>
        <v>0</v>
      </c>
      <c r="N166" s="111">
        <f t="shared" si="15"/>
        <v>3000</v>
      </c>
      <c r="O166" s="149"/>
      <c r="P166" s="150" t="s">
        <v>79</v>
      </c>
      <c r="Q166" s="99">
        <f>I166*1.05</f>
        <v>712.0220625</v>
      </c>
      <c r="U166" s="111">
        <v>645.825</v>
      </c>
      <c r="V166" s="99">
        <f t="shared" si="11"/>
        <v>32.29125</v>
      </c>
      <c r="W166" s="99">
        <f t="shared" si="12"/>
        <v>678.11625</v>
      </c>
    </row>
    <row r="167" ht="22" customHeight="1" spans="1:23">
      <c r="A167" s="108">
        <v>163</v>
      </c>
      <c r="B167" s="108" t="s">
        <v>447</v>
      </c>
      <c r="C167" s="115" t="s">
        <v>448</v>
      </c>
      <c r="D167" s="115"/>
      <c r="E167" s="137" t="s">
        <v>305</v>
      </c>
      <c r="F167" s="137">
        <v>36</v>
      </c>
      <c r="G167" s="110"/>
      <c r="H167" s="110"/>
      <c r="I167" s="111">
        <v>678.11625</v>
      </c>
      <c r="J167" s="111">
        <v>0</v>
      </c>
      <c r="K167" s="111">
        <v>500</v>
      </c>
      <c r="L167" s="111">
        <f t="shared" si="13"/>
        <v>24412.185</v>
      </c>
      <c r="M167" s="111">
        <f t="shared" si="14"/>
        <v>0</v>
      </c>
      <c r="N167" s="111">
        <f t="shared" si="15"/>
        <v>18000</v>
      </c>
      <c r="O167" s="149"/>
      <c r="P167" s="150" t="s">
        <v>79</v>
      </c>
      <c r="Q167" s="99">
        <f t="shared" ref="Q167:Q198" si="18">I167*1.05</f>
        <v>712.0220625</v>
      </c>
      <c r="U167" s="111">
        <v>645.825</v>
      </c>
      <c r="V167" s="99">
        <f t="shared" si="11"/>
        <v>32.29125</v>
      </c>
      <c r="W167" s="99">
        <f t="shared" si="12"/>
        <v>678.11625</v>
      </c>
    </row>
    <row r="168" ht="22" customHeight="1" spans="1:23">
      <c r="A168" s="108">
        <v>164</v>
      </c>
      <c r="B168" s="108" t="s">
        <v>449</v>
      </c>
      <c r="C168" s="115" t="s">
        <v>450</v>
      </c>
      <c r="D168" s="115"/>
      <c r="E168" s="137" t="s">
        <v>336</v>
      </c>
      <c r="F168" s="137">
        <v>2</v>
      </c>
      <c r="G168" s="110"/>
      <c r="H168" s="110"/>
      <c r="I168" s="111">
        <v>678.11625</v>
      </c>
      <c r="J168" s="111">
        <v>0</v>
      </c>
      <c r="K168" s="111">
        <v>500</v>
      </c>
      <c r="L168" s="111">
        <f t="shared" si="13"/>
        <v>1356.2325</v>
      </c>
      <c r="M168" s="111">
        <f t="shared" si="14"/>
        <v>0</v>
      </c>
      <c r="N168" s="111">
        <f t="shared" si="15"/>
        <v>1000</v>
      </c>
      <c r="O168" s="149"/>
      <c r="P168" s="150" t="s">
        <v>79</v>
      </c>
      <c r="Q168" s="99">
        <f t="shared" si="18"/>
        <v>712.0220625</v>
      </c>
      <c r="U168" s="111">
        <v>645.825</v>
      </c>
      <c r="V168" s="99">
        <f t="shared" si="11"/>
        <v>32.29125</v>
      </c>
      <c r="W168" s="99">
        <f t="shared" si="12"/>
        <v>678.11625</v>
      </c>
    </row>
    <row r="169" ht="22" customHeight="1" spans="1:23">
      <c r="A169" s="108">
        <v>165</v>
      </c>
      <c r="B169" s="108" t="s">
        <v>451</v>
      </c>
      <c r="C169" s="115" t="s">
        <v>452</v>
      </c>
      <c r="D169" s="115"/>
      <c r="E169" s="137" t="s">
        <v>305</v>
      </c>
      <c r="F169" s="137">
        <v>29</v>
      </c>
      <c r="G169" s="110"/>
      <c r="H169" s="110"/>
      <c r="I169" s="111">
        <v>271.2465</v>
      </c>
      <c r="J169" s="111">
        <v>0</v>
      </c>
      <c r="K169" s="111">
        <v>200</v>
      </c>
      <c r="L169" s="111">
        <f t="shared" si="13"/>
        <v>7866.1485</v>
      </c>
      <c r="M169" s="111">
        <f t="shared" si="14"/>
        <v>0</v>
      </c>
      <c r="N169" s="111">
        <f t="shared" si="15"/>
        <v>5800</v>
      </c>
      <c r="O169" s="149"/>
      <c r="P169" s="150" t="s">
        <v>79</v>
      </c>
      <c r="Q169" s="99">
        <f t="shared" si="18"/>
        <v>284.808825</v>
      </c>
      <c r="U169" s="111">
        <v>258.33</v>
      </c>
      <c r="V169" s="99">
        <f t="shared" si="11"/>
        <v>12.9165</v>
      </c>
      <c r="W169" s="99">
        <f t="shared" si="12"/>
        <v>271.2465</v>
      </c>
    </row>
    <row r="170" ht="22" customHeight="1" spans="1:23">
      <c r="A170" s="108">
        <v>166</v>
      </c>
      <c r="B170" s="108" t="s">
        <v>453</v>
      </c>
      <c r="C170" s="115" t="s">
        <v>454</v>
      </c>
      <c r="D170" s="115"/>
      <c r="E170" s="137" t="s">
        <v>305</v>
      </c>
      <c r="F170" s="137">
        <v>8</v>
      </c>
      <c r="G170" s="110"/>
      <c r="H170" s="110"/>
      <c r="I170" s="111">
        <v>271.2465</v>
      </c>
      <c r="J170" s="111">
        <v>0</v>
      </c>
      <c r="K170" s="111">
        <v>200</v>
      </c>
      <c r="L170" s="111">
        <f t="shared" si="13"/>
        <v>2169.972</v>
      </c>
      <c r="M170" s="111">
        <f t="shared" si="14"/>
        <v>0</v>
      </c>
      <c r="N170" s="111">
        <f t="shared" si="15"/>
        <v>1600</v>
      </c>
      <c r="O170" s="149"/>
      <c r="P170" s="150" t="s">
        <v>79</v>
      </c>
      <c r="Q170" s="99">
        <f t="shared" si="18"/>
        <v>284.808825</v>
      </c>
      <c r="U170" s="111">
        <v>258.33</v>
      </c>
      <c r="V170" s="99">
        <f t="shared" si="11"/>
        <v>12.9165</v>
      </c>
      <c r="W170" s="99">
        <f t="shared" si="12"/>
        <v>271.2465</v>
      </c>
    </row>
    <row r="171" ht="22" customHeight="1" spans="1:23">
      <c r="A171" s="108">
        <v>167</v>
      </c>
      <c r="B171" s="108" t="s">
        <v>455</v>
      </c>
      <c r="C171" s="115" t="s">
        <v>456</v>
      </c>
      <c r="D171" s="115"/>
      <c r="E171" s="137" t="s">
        <v>305</v>
      </c>
      <c r="F171" s="137">
        <v>12</v>
      </c>
      <c r="G171" s="110"/>
      <c r="H171" s="110"/>
      <c r="I171" s="111">
        <v>271.2465</v>
      </c>
      <c r="J171" s="111">
        <v>0</v>
      </c>
      <c r="K171" s="111">
        <v>200</v>
      </c>
      <c r="L171" s="111">
        <f t="shared" si="13"/>
        <v>3254.958</v>
      </c>
      <c r="M171" s="111">
        <f t="shared" si="14"/>
        <v>0</v>
      </c>
      <c r="N171" s="111">
        <f t="shared" si="15"/>
        <v>2400</v>
      </c>
      <c r="O171" s="149"/>
      <c r="P171" s="150" t="s">
        <v>79</v>
      </c>
      <c r="Q171" s="99">
        <f t="shared" si="18"/>
        <v>284.808825</v>
      </c>
      <c r="U171" s="111">
        <v>258.33</v>
      </c>
      <c r="V171" s="99">
        <f t="shared" si="11"/>
        <v>12.9165</v>
      </c>
      <c r="W171" s="99">
        <f t="shared" si="12"/>
        <v>271.2465</v>
      </c>
    </row>
    <row r="172" ht="22" customHeight="1" spans="1:23">
      <c r="A172" s="108">
        <v>168</v>
      </c>
      <c r="B172" s="108" t="s">
        <v>457</v>
      </c>
      <c r="C172" s="115" t="s">
        <v>458</v>
      </c>
      <c r="D172" s="115"/>
      <c r="E172" s="137" t="s">
        <v>305</v>
      </c>
      <c r="F172" s="137">
        <v>7</v>
      </c>
      <c r="G172" s="110"/>
      <c r="H172" s="110"/>
      <c r="I172" s="111">
        <v>271.2465</v>
      </c>
      <c r="J172" s="111">
        <v>0</v>
      </c>
      <c r="K172" s="111">
        <v>200</v>
      </c>
      <c r="L172" s="111">
        <f t="shared" si="13"/>
        <v>1898.7255</v>
      </c>
      <c r="M172" s="111">
        <f t="shared" si="14"/>
        <v>0</v>
      </c>
      <c r="N172" s="111">
        <f t="shared" si="15"/>
        <v>1400</v>
      </c>
      <c r="O172" s="149"/>
      <c r="P172" s="150" t="s">
        <v>79</v>
      </c>
      <c r="Q172" s="99">
        <f t="shared" si="18"/>
        <v>284.808825</v>
      </c>
      <c r="U172" s="111">
        <v>258.33</v>
      </c>
      <c r="V172" s="99">
        <f t="shared" si="11"/>
        <v>12.9165</v>
      </c>
      <c r="W172" s="99">
        <f t="shared" si="12"/>
        <v>271.2465</v>
      </c>
    </row>
    <row r="173" ht="22" customHeight="1" spans="1:23">
      <c r="A173" s="108">
        <v>169</v>
      </c>
      <c r="B173" s="108" t="s">
        <v>459</v>
      </c>
      <c r="C173" s="115" t="s">
        <v>460</v>
      </c>
      <c r="D173" s="115"/>
      <c r="E173" s="137" t="s">
        <v>305</v>
      </c>
      <c r="F173" s="137">
        <v>1</v>
      </c>
      <c r="G173" s="110"/>
      <c r="H173" s="110"/>
      <c r="I173" s="111">
        <v>271.2465</v>
      </c>
      <c r="J173" s="111">
        <v>0</v>
      </c>
      <c r="K173" s="111">
        <v>200</v>
      </c>
      <c r="L173" s="111">
        <f t="shared" si="13"/>
        <v>271.2465</v>
      </c>
      <c r="M173" s="111">
        <f t="shared" si="14"/>
        <v>0</v>
      </c>
      <c r="N173" s="111">
        <f t="shared" si="15"/>
        <v>200</v>
      </c>
      <c r="O173" s="149"/>
      <c r="P173" s="150" t="s">
        <v>79</v>
      </c>
      <c r="Q173" s="99">
        <f t="shared" si="18"/>
        <v>284.808825</v>
      </c>
      <c r="U173" s="111">
        <v>258.33</v>
      </c>
      <c r="V173" s="99">
        <f t="shared" si="11"/>
        <v>12.9165</v>
      </c>
      <c r="W173" s="99">
        <f t="shared" si="12"/>
        <v>271.2465</v>
      </c>
    </row>
    <row r="174" ht="22" customHeight="1" spans="1:23">
      <c r="A174" s="108">
        <v>170</v>
      </c>
      <c r="B174" s="108" t="s">
        <v>461</v>
      </c>
      <c r="C174" s="115" t="s">
        <v>462</v>
      </c>
      <c r="D174" s="115"/>
      <c r="E174" s="137" t="s">
        <v>301</v>
      </c>
      <c r="F174" s="137">
        <v>1</v>
      </c>
      <c r="G174" s="110"/>
      <c r="H174" s="110"/>
      <c r="I174" s="111">
        <v>2712.465</v>
      </c>
      <c r="J174" s="111">
        <v>0</v>
      </c>
      <c r="K174" s="111">
        <v>2000</v>
      </c>
      <c r="L174" s="111">
        <f t="shared" si="13"/>
        <v>2712.465</v>
      </c>
      <c r="M174" s="111">
        <f t="shared" si="14"/>
        <v>0</v>
      </c>
      <c r="N174" s="111">
        <f t="shared" si="15"/>
        <v>2000</v>
      </c>
      <c r="O174" s="149"/>
      <c r="P174" s="150" t="s">
        <v>79</v>
      </c>
      <c r="Q174" s="99">
        <f t="shared" si="18"/>
        <v>2848.08825</v>
      </c>
      <c r="U174" s="111">
        <v>2583.3</v>
      </c>
      <c r="V174" s="99">
        <f t="shared" si="11"/>
        <v>129.165</v>
      </c>
      <c r="W174" s="99">
        <f t="shared" si="12"/>
        <v>2712.465</v>
      </c>
    </row>
    <row r="175" ht="22" customHeight="1" spans="1:23">
      <c r="A175" s="108">
        <v>171</v>
      </c>
      <c r="B175" s="108" t="s">
        <v>463</v>
      </c>
      <c r="C175" s="115" t="s">
        <v>464</v>
      </c>
      <c r="D175" s="115"/>
      <c r="E175" s="137" t="s">
        <v>305</v>
      </c>
      <c r="F175" s="137">
        <v>4</v>
      </c>
      <c r="G175" s="110"/>
      <c r="H175" s="110"/>
      <c r="I175" s="111">
        <v>678.11625</v>
      </c>
      <c r="J175" s="111">
        <v>0</v>
      </c>
      <c r="K175" s="111">
        <v>500</v>
      </c>
      <c r="L175" s="111">
        <f t="shared" si="13"/>
        <v>2712.465</v>
      </c>
      <c r="M175" s="111">
        <f t="shared" si="14"/>
        <v>0</v>
      </c>
      <c r="N175" s="111">
        <f t="shared" si="15"/>
        <v>2000</v>
      </c>
      <c r="O175" s="149"/>
      <c r="P175" s="150" t="s">
        <v>79</v>
      </c>
      <c r="Q175" s="99">
        <f t="shared" si="18"/>
        <v>712.0220625</v>
      </c>
      <c r="U175" s="111">
        <v>645.825</v>
      </c>
      <c r="V175" s="99">
        <f t="shared" si="11"/>
        <v>32.29125</v>
      </c>
      <c r="W175" s="99">
        <f t="shared" si="12"/>
        <v>678.11625</v>
      </c>
    </row>
    <row r="176" ht="58" customHeight="1" spans="1:23">
      <c r="A176" s="108">
        <v>172</v>
      </c>
      <c r="B176" s="108" t="s">
        <v>465</v>
      </c>
      <c r="C176" s="115" t="s">
        <v>466</v>
      </c>
      <c r="D176" s="115" t="s">
        <v>467</v>
      </c>
      <c r="E176" s="152" t="s">
        <v>468</v>
      </c>
      <c r="F176" s="137">
        <v>240</v>
      </c>
      <c r="G176" s="110"/>
      <c r="H176" s="110"/>
      <c r="I176" s="111">
        <v>691.318513274336</v>
      </c>
      <c r="J176" s="111">
        <v>350</v>
      </c>
      <c r="K176" s="111">
        <v>100</v>
      </c>
      <c r="L176" s="111">
        <f t="shared" si="13"/>
        <v>165916.443185841</v>
      </c>
      <c r="M176" s="111">
        <f t="shared" si="14"/>
        <v>84000</v>
      </c>
      <c r="N176" s="111">
        <f t="shared" si="15"/>
        <v>24000</v>
      </c>
      <c r="O176" s="149"/>
      <c r="P176" s="116" t="s">
        <v>469</v>
      </c>
      <c r="Q176" s="99">
        <f t="shared" si="18"/>
        <v>725.884438938053</v>
      </c>
      <c r="U176" s="111">
        <v>658.398584070796</v>
      </c>
      <c r="V176" s="99">
        <f t="shared" si="11"/>
        <v>32.9199292035401</v>
      </c>
      <c r="W176" s="99">
        <f t="shared" si="12"/>
        <v>341.318513274336</v>
      </c>
    </row>
    <row r="177" ht="22" customHeight="1" spans="1:23">
      <c r="A177" s="108">
        <v>173</v>
      </c>
      <c r="B177" s="108">
        <v>7.2</v>
      </c>
      <c r="C177" s="138" t="s">
        <v>316</v>
      </c>
      <c r="D177" s="115"/>
      <c r="E177" s="108"/>
      <c r="F177" s="108"/>
      <c r="G177" s="110"/>
      <c r="H177" s="110"/>
      <c r="I177" s="111">
        <v>0</v>
      </c>
      <c r="J177" s="111">
        <v>0</v>
      </c>
      <c r="K177" s="111">
        <v>0</v>
      </c>
      <c r="L177" s="111">
        <f t="shared" si="13"/>
        <v>0</v>
      </c>
      <c r="M177" s="111">
        <f t="shared" si="14"/>
        <v>0</v>
      </c>
      <c r="N177" s="111">
        <f t="shared" si="15"/>
        <v>0</v>
      </c>
      <c r="O177" s="149"/>
      <c r="P177" s="150"/>
      <c r="Q177" s="99">
        <f t="shared" si="18"/>
        <v>0</v>
      </c>
      <c r="U177" s="111">
        <v>0</v>
      </c>
      <c r="V177" s="99">
        <f t="shared" si="11"/>
        <v>0</v>
      </c>
      <c r="W177" s="99">
        <f t="shared" si="12"/>
        <v>0</v>
      </c>
    </row>
    <row r="178" ht="58" customHeight="1" spans="1:23">
      <c r="A178" s="108">
        <v>174</v>
      </c>
      <c r="B178" s="148" t="s">
        <v>470</v>
      </c>
      <c r="C178" s="115" t="s">
        <v>471</v>
      </c>
      <c r="D178" s="115" t="s">
        <v>472</v>
      </c>
      <c r="E178" s="152" t="s">
        <v>468</v>
      </c>
      <c r="F178" s="137">
        <v>221</v>
      </c>
      <c r="G178" s="110"/>
      <c r="H178" s="110"/>
      <c r="I178" s="111">
        <v>6.18142161</v>
      </c>
      <c r="J178" s="111"/>
      <c r="K178" s="111">
        <v>4</v>
      </c>
      <c r="L178" s="111">
        <f t="shared" si="13"/>
        <v>1366.09417581</v>
      </c>
      <c r="M178" s="111">
        <f t="shared" si="14"/>
        <v>0</v>
      </c>
      <c r="N178" s="111">
        <f t="shared" si="15"/>
        <v>884</v>
      </c>
      <c r="O178" s="149"/>
      <c r="P178" s="126" t="s">
        <v>473</v>
      </c>
      <c r="Q178" s="99">
        <f t="shared" si="18"/>
        <v>6.4904926905</v>
      </c>
      <c r="U178" s="111">
        <v>5.8870682</v>
      </c>
      <c r="V178" s="99">
        <f t="shared" si="11"/>
        <v>0.29435341</v>
      </c>
      <c r="W178" s="99">
        <f t="shared" si="12"/>
        <v>6.18142161</v>
      </c>
    </row>
    <row r="179" ht="45" customHeight="1" spans="1:23">
      <c r="A179" s="108">
        <v>175</v>
      </c>
      <c r="B179" s="148" t="s">
        <v>474</v>
      </c>
      <c r="C179" s="115" t="s">
        <v>471</v>
      </c>
      <c r="D179" s="115" t="s">
        <v>475</v>
      </c>
      <c r="E179" s="152" t="s">
        <v>468</v>
      </c>
      <c r="F179" s="137">
        <v>74</v>
      </c>
      <c r="G179" s="110"/>
      <c r="H179" s="110"/>
      <c r="I179" s="111">
        <v>6.300300825</v>
      </c>
      <c r="J179" s="111"/>
      <c r="K179" s="111">
        <v>4</v>
      </c>
      <c r="L179" s="111">
        <f t="shared" si="13"/>
        <v>466.22226105</v>
      </c>
      <c r="M179" s="111">
        <f t="shared" si="14"/>
        <v>0</v>
      </c>
      <c r="N179" s="111">
        <f t="shared" si="15"/>
        <v>296</v>
      </c>
      <c r="O179" s="149"/>
      <c r="P179" s="150" t="s">
        <v>79</v>
      </c>
      <c r="Q179" s="99">
        <f t="shared" si="18"/>
        <v>6.61531586625</v>
      </c>
      <c r="U179" s="111">
        <v>6.0002865</v>
      </c>
      <c r="V179" s="99">
        <f t="shared" si="11"/>
        <v>0.300014325</v>
      </c>
      <c r="W179" s="99">
        <f t="shared" si="12"/>
        <v>6.300300825</v>
      </c>
    </row>
    <row r="180" ht="32" customHeight="1" spans="1:23">
      <c r="A180" s="108">
        <v>176</v>
      </c>
      <c r="B180" s="148" t="s">
        <v>476</v>
      </c>
      <c r="C180" s="115" t="s">
        <v>477</v>
      </c>
      <c r="D180" s="115" t="s">
        <v>478</v>
      </c>
      <c r="E180" s="152" t="s">
        <v>468</v>
      </c>
      <c r="F180" s="137">
        <v>1656</v>
      </c>
      <c r="G180" s="110"/>
      <c r="H180" s="110"/>
      <c r="I180" s="111">
        <v>6.054210435</v>
      </c>
      <c r="J180" s="111"/>
      <c r="K180" s="111">
        <v>4</v>
      </c>
      <c r="L180" s="111">
        <f t="shared" si="13"/>
        <v>10025.77248036</v>
      </c>
      <c r="M180" s="111">
        <f t="shared" si="14"/>
        <v>0</v>
      </c>
      <c r="N180" s="111">
        <f t="shared" si="15"/>
        <v>6624</v>
      </c>
      <c r="O180" s="149"/>
      <c r="P180" s="150" t="s">
        <v>79</v>
      </c>
      <c r="Q180" s="99">
        <f t="shared" si="18"/>
        <v>6.35692095675</v>
      </c>
      <c r="U180" s="111">
        <v>5.7659147</v>
      </c>
      <c r="V180" s="99">
        <f t="shared" si="11"/>
        <v>0.288295735</v>
      </c>
      <c r="W180" s="99">
        <f t="shared" si="12"/>
        <v>6.054210435</v>
      </c>
    </row>
    <row r="181" ht="22" customHeight="1" spans="1:23">
      <c r="A181" s="108">
        <v>177</v>
      </c>
      <c r="B181" s="148" t="s">
        <v>479</v>
      </c>
      <c r="C181" s="115" t="s">
        <v>477</v>
      </c>
      <c r="D181" s="115" t="s">
        <v>480</v>
      </c>
      <c r="E181" s="152" t="s">
        <v>468</v>
      </c>
      <c r="F181" s="137">
        <v>552</v>
      </c>
      <c r="G181" s="110"/>
      <c r="H181" s="110"/>
      <c r="I181" s="111">
        <v>6.09750687</v>
      </c>
      <c r="J181" s="111"/>
      <c r="K181" s="111">
        <v>4</v>
      </c>
      <c r="L181" s="111">
        <f t="shared" si="13"/>
        <v>3365.82379224</v>
      </c>
      <c r="M181" s="111">
        <f t="shared" si="14"/>
        <v>0</v>
      </c>
      <c r="N181" s="111">
        <f t="shared" si="15"/>
        <v>2208</v>
      </c>
      <c r="O181" s="149"/>
      <c r="P181" s="150" t="s">
        <v>79</v>
      </c>
      <c r="Q181" s="99">
        <f t="shared" si="18"/>
        <v>6.4023822135</v>
      </c>
      <c r="U181" s="111">
        <v>5.8071494</v>
      </c>
      <c r="V181" s="99">
        <f t="shared" si="11"/>
        <v>0.29035747</v>
      </c>
      <c r="W181" s="99">
        <f t="shared" si="12"/>
        <v>6.09750687</v>
      </c>
    </row>
    <row r="182" ht="22" customHeight="1" spans="1:23">
      <c r="A182" s="108">
        <v>178</v>
      </c>
      <c r="B182" s="148" t="s">
        <v>481</v>
      </c>
      <c r="C182" s="115" t="s">
        <v>477</v>
      </c>
      <c r="D182" s="115" t="s">
        <v>482</v>
      </c>
      <c r="E182" s="152" t="s">
        <v>468</v>
      </c>
      <c r="F182" s="137">
        <v>110</v>
      </c>
      <c r="G182" s="110"/>
      <c r="H182" s="110"/>
      <c r="I182" s="111">
        <v>6.1061364</v>
      </c>
      <c r="J182" s="111"/>
      <c r="K182" s="111">
        <v>4</v>
      </c>
      <c r="L182" s="111">
        <f t="shared" si="13"/>
        <v>671.675004</v>
      </c>
      <c r="M182" s="111">
        <f t="shared" si="14"/>
        <v>0</v>
      </c>
      <c r="N182" s="111">
        <f t="shared" si="15"/>
        <v>440</v>
      </c>
      <c r="O182" s="149"/>
      <c r="P182" s="150" t="s">
        <v>79</v>
      </c>
      <c r="Q182" s="99">
        <f t="shared" si="18"/>
        <v>6.41144322</v>
      </c>
      <c r="U182" s="111">
        <v>5.815368</v>
      </c>
      <c r="V182" s="99">
        <f t="shared" si="11"/>
        <v>0.290768399999999</v>
      </c>
      <c r="W182" s="99">
        <f t="shared" si="12"/>
        <v>6.1061364</v>
      </c>
    </row>
    <row r="183" ht="22" customHeight="1" spans="1:23">
      <c r="A183" s="108">
        <v>179</v>
      </c>
      <c r="B183" s="148" t="s">
        <v>483</v>
      </c>
      <c r="C183" s="115" t="s">
        <v>477</v>
      </c>
      <c r="D183" s="115" t="s">
        <v>484</v>
      </c>
      <c r="E183" s="152" t="s">
        <v>468</v>
      </c>
      <c r="F183" s="137">
        <v>110</v>
      </c>
      <c r="G183" s="110"/>
      <c r="H183" s="110"/>
      <c r="I183" s="111">
        <v>8.0076087</v>
      </c>
      <c r="J183" s="111"/>
      <c r="K183" s="111">
        <v>5</v>
      </c>
      <c r="L183" s="111">
        <f t="shared" si="13"/>
        <v>880.836957</v>
      </c>
      <c r="M183" s="111">
        <f t="shared" si="14"/>
        <v>0</v>
      </c>
      <c r="N183" s="111">
        <f t="shared" si="15"/>
        <v>550</v>
      </c>
      <c r="O183" s="149"/>
      <c r="P183" s="150" t="s">
        <v>79</v>
      </c>
      <c r="Q183" s="99">
        <f t="shared" si="18"/>
        <v>8.407989135</v>
      </c>
      <c r="U183" s="111">
        <v>7.626294</v>
      </c>
      <c r="V183" s="99">
        <f t="shared" si="11"/>
        <v>0.381314700000001</v>
      </c>
      <c r="W183" s="99">
        <f t="shared" si="12"/>
        <v>8.0076087</v>
      </c>
    </row>
    <row r="184" ht="22" customHeight="1" spans="1:23">
      <c r="A184" s="108">
        <v>180</v>
      </c>
      <c r="B184" s="148" t="s">
        <v>485</v>
      </c>
      <c r="C184" s="115" t="s">
        <v>477</v>
      </c>
      <c r="D184" s="115" t="s">
        <v>486</v>
      </c>
      <c r="E184" s="152" t="s">
        <v>468</v>
      </c>
      <c r="F184" s="137">
        <v>37</v>
      </c>
      <c r="G184" s="110"/>
      <c r="H184" s="110"/>
      <c r="I184" s="111">
        <v>16.47793875</v>
      </c>
      <c r="J184" s="111"/>
      <c r="K184" s="111">
        <v>10</v>
      </c>
      <c r="L184" s="111">
        <f t="shared" si="13"/>
        <v>609.68373375</v>
      </c>
      <c r="M184" s="111">
        <f t="shared" si="14"/>
        <v>0</v>
      </c>
      <c r="N184" s="111">
        <f t="shared" si="15"/>
        <v>370</v>
      </c>
      <c r="O184" s="149"/>
      <c r="P184" s="150" t="s">
        <v>79</v>
      </c>
      <c r="Q184" s="99">
        <f t="shared" si="18"/>
        <v>17.3018356875</v>
      </c>
      <c r="U184" s="111">
        <v>15.693275</v>
      </c>
      <c r="V184" s="99">
        <f t="shared" si="11"/>
        <v>0.78466375</v>
      </c>
      <c r="W184" s="99">
        <f t="shared" si="12"/>
        <v>16.47793875</v>
      </c>
    </row>
    <row r="185" ht="22" customHeight="1" spans="1:23">
      <c r="A185" s="108">
        <v>181</v>
      </c>
      <c r="B185" s="148" t="s">
        <v>487</v>
      </c>
      <c r="C185" s="115" t="s">
        <v>477</v>
      </c>
      <c r="D185" s="115" t="s">
        <v>480</v>
      </c>
      <c r="E185" s="152" t="s">
        <v>468</v>
      </c>
      <c r="F185" s="137">
        <v>337</v>
      </c>
      <c r="G185" s="110"/>
      <c r="H185" s="110"/>
      <c r="I185" s="111">
        <v>6.09750687</v>
      </c>
      <c r="J185" s="111"/>
      <c r="K185" s="111">
        <v>4</v>
      </c>
      <c r="L185" s="111">
        <f t="shared" si="13"/>
        <v>2054.85981519</v>
      </c>
      <c r="M185" s="111">
        <f t="shared" si="14"/>
        <v>0</v>
      </c>
      <c r="N185" s="111">
        <f t="shared" si="15"/>
        <v>1348</v>
      </c>
      <c r="O185" s="149"/>
      <c r="P185" s="150" t="s">
        <v>79</v>
      </c>
      <c r="Q185" s="99">
        <f t="shared" si="18"/>
        <v>6.4023822135</v>
      </c>
      <c r="U185" s="111">
        <v>5.8071494</v>
      </c>
      <c r="V185" s="99">
        <f t="shared" si="11"/>
        <v>0.29035747</v>
      </c>
      <c r="W185" s="99">
        <f t="shared" si="12"/>
        <v>6.09750687</v>
      </c>
    </row>
    <row r="186" ht="22" customHeight="1" spans="1:23">
      <c r="A186" s="108">
        <v>182</v>
      </c>
      <c r="B186" s="148" t="s">
        <v>488</v>
      </c>
      <c r="C186" s="115" t="s">
        <v>477</v>
      </c>
      <c r="D186" s="170" t="s">
        <v>489</v>
      </c>
      <c r="E186" s="152" t="s">
        <v>468</v>
      </c>
      <c r="F186" s="137">
        <v>276</v>
      </c>
      <c r="G186" s="110"/>
      <c r="H186" s="110"/>
      <c r="I186" s="111">
        <v>6.17308965</v>
      </c>
      <c r="J186" s="111"/>
      <c r="K186" s="111">
        <v>4</v>
      </c>
      <c r="L186" s="111">
        <f t="shared" si="13"/>
        <v>1703.7727434</v>
      </c>
      <c r="M186" s="111">
        <f t="shared" si="14"/>
        <v>0</v>
      </c>
      <c r="N186" s="111">
        <f t="shared" si="15"/>
        <v>1104</v>
      </c>
      <c r="O186" s="149"/>
      <c r="P186" s="150" t="s">
        <v>79</v>
      </c>
      <c r="Q186" s="99">
        <f t="shared" si="18"/>
        <v>6.4817441325</v>
      </c>
      <c r="U186" s="111">
        <v>5.879133</v>
      </c>
      <c r="V186" s="99">
        <f t="shared" si="11"/>
        <v>0.293956649999999</v>
      </c>
      <c r="W186" s="99">
        <f t="shared" si="12"/>
        <v>6.17308965</v>
      </c>
    </row>
    <row r="187" ht="22" customHeight="1" spans="1:23">
      <c r="A187" s="108">
        <v>183</v>
      </c>
      <c r="B187" s="148" t="s">
        <v>490</v>
      </c>
      <c r="C187" s="115" t="s">
        <v>477</v>
      </c>
      <c r="D187" s="115" t="s">
        <v>472</v>
      </c>
      <c r="E187" s="152" t="s">
        <v>468</v>
      </c>
      <c r="F187" s="137">
        <v>690</v>
      </c>
      <c r="G187" s="110"/>
      <c r="H187" s="110"/>
      <c r="I187" s="111">
        <v>6.1418448</v>
      </c>
      <c r="J187" s="111"/>
      <c r="K187" s="111">
        <v>4</v>
      </c>
      <c r="L187" s="111">
        <f t="shared" si="13"/>
        <v>4237.872912</v>
      </c>
      <c r="M187" s="111">
        <f t="shared" si="14"/>
        <v>0</v>
      </c>
      <c r="N187" s="111">
        <f t="shared" si="15"/>
        <v>2760</v>
      </c>
      <c r="O187" s="149"/>
      <c r="P187" s="150" t="s">
        <v>79</v>
      </c>
      <c r="Q187" s="99">
        <f t="shared" si="18"/>
        <v>6.44893704</v>
      </c>
      <c r="U187" s="111">
        <v>5.849376</v>
      </c>
      <c r="V187" s="99">
        <f t="shared" si="11"/>
        <v>0.2924688</v>
      </c>
      <c r="W187" s="99">
        <f t="shared" si="12"/>
        <v>6.1418448</v>
      </c>
    </row>
    <row r="188" ht="22" customHeight="1" spans="1:23">
      <c r="A188" s="108">
        <v>184</v>
      </c>
      <c r="B188" s="148" t="s">
        <v>491</v>
      </c>
      <c r="C188" s="115" t="s">
        <v>477</v>
      </c>
      <c r="D188" s="115" t="s">
        <v>475</v>
      </c>
      <c r="E188" s="152" t="s">
        <v>468</v>
      </c>
      <c r="F188" s="137">
        <v>386</v>
      </c>
      <c r="G188" s="110"/>
      <c r="H188" s="110"/>
      <c r="I188" s="111">
        <v>7.7308686</v>
      </c>
      <c r="J188" s="111"/>
      <c r="K188" s="111">
        <v>5</v>
      </c>
      <c r="L188" s="111">
        <f t="shared" si="13"/>
        <v>2984.1152796</v>
      </c>
      <c r="M188" s="111">
        <f t="shared" si="14"/>
        <v>0</v>
      </c>
      <c r="N188" s="111">
        <f t="shared" si="15"/>
        <v>1930</v>
      </c>
      <c r="O188" s="149"/>
      <c r="P188" s="150" t="s">
        <v>79</v>
      </c>
      <c r="Q188" s="99">
        <f t="shared" si="18"/>
        <v>8.11741203</v>
      </c>
      <c r="U188" s="111">
        <v>7.362732</v>
      </c>
      <c r="V188" s="99">
        <f t="shared" si="11"/>
        <v>0.3681366</v>
      </c>
      <c r="W188" s="99">
        <f t="shared" si="12"/>
        <v>7.7308686</v>
      </c>
    </row>
    <row r="189" ht="22" customHeight="1" spans="1:23">
      <c r="A189" s="108">
        <v>185</v>
      </c>
      <c r="B189" s="148" t="s">
        <v>492</v>
      </c>
      <c r="C189" s="115" t="s">
        <v>477</v>
      </c>
      <c r="D189" s="170" t="s">
        <v>493</v>
      </c>
      <c r="E189" s="152" t="s">
        <v>468</v>
      </c>
      <c r="F189" s="137">
        <v>184</v>
      </c>
      <c r="G189" s="110"/>
      <c r="H189" s="110"/>
      <c r="I189" s="111">
        <v>7.7993097</v>
      </c>
      <c r="J189" s="111"/>
      <c r="K189" s="111">
        <v>5</v>
      </c>
      <c r="L189" s="111">
        <f t="shared" si="13"/>
        <v>1435.0729848</v>
      </c>
      <c r="M189" s="111">
        <f t="shared" si="14"/>
        <v>0</v>
      </c>
      <c r="N189" s="111">
        <f t="shared" si="15"/>
        <v>920</v>
      </c>
      <c r="O189" s="149"/>
      <c r="P189" s="150" t="s">
        <v>79</v>
      </c>
      <c r="Q189" s="99">
        <f t="shared" si="18"/>
        <v>8.189275185</v>
      </c>
      <c r="U189" s="111">
        <v>7.427914</v>
      </c>
      <c r="V189" s="99">
        <f t="shared" si="11"/>
        <v>0.3713957</v>
      </c>
      <c r="W189" s="99">
        <f t="shared" si="12"/>
        <v>7.7993097</v>
      </c>
    </row>
    <row r="190" ht="22" customHeight="1" spans="1:23">
      <c r="A190" s="108">
        <v>186</v>
      </c>
      <c r="B190" s="148" t="s">
        <v>494</v>
      </c>
      <c r="C190" s="115" t="s">
        <v>477</v>
      </c>
      <c r="D190" s="115" t="s">
        <v>495</v>
      </c>
      <c r="E190" s="152" t="s">
        <v>468</v>
      </c>
      <c r="F190" s="137">
        <v>258</v>
      </c>
      <c r="G190" s="110"/>
      <c r="H190" s="110"/>
      <c r="I190" s="111">
        <v>7.96743675</v>
      </c>
      <c r="J190" s="111"/>
      <c r="K190" s="111">
        <v>5</v>
      </c>
      <c r="L190" s="111">
        <f t="shared" si="13"/>
        <v>2055.5986815</v>
      </c>
      <c r="M190" s="111">
        <f t="shared" si="14"/>
        <v>0</v>
      </c>
      <c r="N190" s="111">
        <f t="shared" si="15"/>
        <v>1290</v>
      </c>
      <c r="O190" s="149"/>
      <c r="P190" s="150" t="s">
        <v>79</v>
      </c>
      <c r="Q190" s="99">
        <f t="shared" si="18"/>
        <v>8.3658085875</v>
      </c>
      <c r="U190" s="111">
        <v>7.588035</v>
      </c>
      <c r="V190" s="99">
        <f t="shared" si="11"/>
        <v>0.37940175</v>
      </c>
      <c r="W190" s="99">
        <f t="shared" si="12"/>
        <v>7.96743675</v>
      </c>
    </row>
    <row r="191" ht="22" customHeight="1" spans="1:23">
      <c r="A191" s="108">
        <v>187</v>
      </c>
      <c r="B191" s="148" t="s">
        <v>496</v>
      </c>
      <c r="C191" s="115" t="s">
        <v>477</v>
      </c>
      <c r="D191" s="115" t="s">
        <v>497</v>
      </c>
      <c r="E191" s="152" t="s">
        <v>468</v>
      </c>
      <c r="F191" s="137">
        <v>110</v>
      </c>
      <c r="G191" s="110"/>
      <c r="H191" s="110"/>
      <c r="I191" s="111">
        <v>9.462726</v>
      </c>
      <c r="J191" s="111"/>
      <c r="K191" s="111">
        <v>6</v>
      </c>
      <c r="L191" s="111">
        <f t="shared" si="13"/>
        <v>1040.89986</v>
      </c>
      <c r="M191" s="111">
        <f t="shared" si="14"/>
        <v>0</v>
      </c>
      <c r="N191" s="111">
        <f t="shared" si="15"/>
        <v>660</v>
      </c>
      <c r="O191" s="149"/>
      <c r="P191" s="150" t="s">
        <v>79</v>
      </c>
      <c r="Q191" s="99">
        <f t="shared" si="18"/>
        <v>9.9358623</v>
      </c>
      <c r="U191" s="111">
        <v>9.01212</v>
      </c>
      <c r="V191" s="99">
        <f t="shared" si="11"/>
        <v>0.450606000000001</v>
      </c>
      <c r="W191" s="99">
        <f t="shared" si="12"/>
        <v>9.462726</v>
      </c>
    </row>
    <row r="192" ht="22" customHeight="1" spans="1:23">
      <c r="A192" s="108">
        <v>188</v>
      </c>
      <c r="B192" s="148" t="s">
        <v>498</v>
      </c>
      <c r="C192" s="115" t="s">
        <v>477</v>
      </c>
      <c r="D192" s="115" t="s">
        <v>499</v>
      </c>
      <c r="E192" s="152" t="s">
        <v>468</v>
      </c>
      <c r="F192" s="137">
        <v>18</v>
      </c>
      <c r="G192" s="110"/>
      <c r="H192" s="110"/>
      <c r="I192" s="111">
        <v>11.2540974</v>
      </c>
      <c r="J192" s="111"/>
      <c r="K192" s="111">
        <v>7</v>
      </c>
      <c r="L192" s="111">
        <f t="shared" si="13"/>
        <v>202.5737532</v>
      </c>
      <c r="M192" s="111">
        <f t="shared" si="14"/>
        <v>0</v>
      </c>
      <c r="N192" s="111">
        <f t="shared" si="15"/>
        <v>126</v>
      </c>
      <c r="O192" s="149"/>
      <c r="P192" s="150" t="s">
        <v>79</v>
      </c>
      <c r="Q192" s="99">
        <f t="shared" si="18"/>
        <v>11.81680227</v>
      </c>
      <c r="U192" s="111">
        <v>10.718188</v>
      </c>
      <c r="V192" s="99">
        <f t="shared" si="11"/>
        <v>0.5359094</v>
      </c>
      <c r="W192" s="99">
        <f t="shared" si="12"/>
        <v>11.2540974</v>
      </c>
    </row>
    <row r="193" ht="22" customHeight="1" spans="1:23">
      <c r="A193" s="108">
        <v>189</v>
      </c>
      <c r="B193" s="148" t="s">
        <v>500</v>
      </c>
      <c r="C193" s="115" t="s">
        <v>477</v>
      </c>
      <c r="D193" s="170" t="s">
        <v>501</v>
      </c>
      <c r="E193" s="152" t="s">
        <v>468</v>
      </c>
      <c r="F193" s="137">
        <v>74</v>
      </c>
      <c r="G193" s="110"/>
      <c r="H193" s="110"/>
      <c r="I193" s="111">
        <v>11.2927815</v>
      </c>
      <c r="J193" s="111"/>
      <c r="K193" s="111">
        <v>7</v>
      </c>
      <c r="L193" s="111">
        <f t="shared" si="13"/>
        <v>835.665831</v>
      </c>
      <c r="M193" s="111">
        <f t="shared" si="14"/>
        <v>0</v>
      </c>
      <c r="N193" s="111">
        <f t="shared" si="15"/>
        <v>518</v>
      </c>
      <c r="O193" s="149"/>
      <c r="P193" s="150" t="s">
        <v>79</v>
      </c>
      <c r="Q193" s="99">
        <f t="shared" si="18"/>
        <v>11.857420575</v>
      </c>
      <c r="U193" s="111">
        <v>10.75503</v>
      </c>
      <c r="V193" s="99">
        <f t="shared" si="11"/>
        <v>0.537751500000001</v>
      </c>
      <c r="W193" s="99">
        <f t="shared" si="12"/>
        <v>11.2927815</v>
      </c>
    </row>
    <row r="194" ht="22" customHeight="1" spans="1:23">
      <c r="A194" s="108">
        <v>190</v>
      </c>
      <c r="B194" s="148" t="s">
        <v>502</v>
      </c>
      <c r="C194" s="115" t="s">
        <v>477</v>
      </c>
      <c r="D194" s="115" t="s">
        <v>503</v>
      </c>
      <c r="E194" s="152" t="s">
        <v>468</v>
      </c>
      <c r="F194" s="137">
        <v>18</v>
      </c>
      <c r="G194" s="110"/>
      <c r="H194" s="110"/>
      <c r="I194" s="111">
        <v>13.28798835</v>
      </c>
      <c r="J194" s="111"/>
      <c r="K194" s="111">
        <v>8</v>
      </c>
      <c r="L194" s="111">
        <f t="shared" si="13"/>
        <v>239.1837903</v>
      </c>
      <c r="M194" s="111">
        <f t="shared" si="14"/>
        <v>0</v>
      </c>
      <c r="N194" s="111">
        <f t="shared" si="15"/>
        <v>144</v>
      </c>
      <c r="O194" s="149"/>
      <c r="P194" s="150" t="s">
        <v>79</v>
      </c>
      <c r="Q194" s="99">
        <f t="shared" si="18"/>
        <v>13.9523877675</v>
      </c>
      <c r="U194" s="111">
        <v>12.655227</v>
      </c>
      <c r="V194" s="99">
        <f t="shared" si="11"/>
        <v>0.632761349999999</v>
      </c>
      <c r="W194" s="99">
        <f t="shared" si="12"/>
        <v>13.28798835</v>
      </c>
    </row>
    <row r="195" ht="22" customHeight="1" spans="1:23">
      <c r="A195" s="108">
        <v>191</v>
      </c>
      <c r="B195" s="148" t="s">
        <v>504</v>
      </c>
      <c r="C195" s="115" t="s">
        <v>477</v>
      </c>
      <c r="D195" s="170" t="s">
        <v>505</v>
      </c>
      <c r="E195" s="152" t="s">
        <v>468</v>
      </c>
      <c r="F195" s="137">
        <v>138</v>
      </c>
      <c r="G195" s="110"/>
      <c r="H195" s="110"/>
      <c r="I195" s="111">
        <v>16.43627895</v>
      </c>
      <c r="J195" s="111"/>
      <c r="K195" s="111">
        <v>10</v>
      </c>
      <c r="L195" s="111">
        <f t="shared" si="13"/>
        <v>2268.2064951</v>
      </c>
      <c r="M195" s="111">
        <f t="shared" si="14"/>
        <v>0</v>
      </c>
      <c r="N195" s="111">
        <f t="shared" si="15"/>
        <v>1380</v>
      </c>
      <c r="O195" s="149"/>
      <c r="P195" s="150" t="s">
        <v>79</v>
      </c>
      <c r="Q195" s="99">
        <f t="shared" si="18"/>
        <v>17.2580928975</v>
      </c>
      <c r="U195" s="111">
        <v>15.653599</v>
      </c>
      <c r="V195" s="99">
        <f t="shared" si="11"/>
        <v>0.782679949999999</v>
      </c>
      <c r="W195" s="99">
        <f t="shared" si="12"/>
        <v>16.43627895</v>
      </c>
    </row>
    <row r="196" ht="22" customHeight="1" spans="1:23">
      <c r="A196" s="108">
        <v>192</v>
      </c>
      <c r="B196" s="148" t="s">
        <v>506</v>
      </c>
      <c r="C196" s="115" t="s">
        <v>477</v>
      </c>
      <c r="D196" s="115" t="s">
        <v>507</v>
      </c>
      <c r="E196" s="152" t="s">
        <v>468</v>
      </c>
      <c r="F196" s="137">
        <v>267</v>
      </c>
      <c r="G196" s="110"/>
      <c r="H196" s="110"/>
      <c r="I196" s="111">
        <v>17.1816918</v>
      </c>
      <c r="J196" s="111"/>
      <c r="K196" s="111">
        <v>10</v>
      </c>
      <c r="L196" s="111">
        <f t="shared" si="13"/>
        <v>4587.5117106</v>
      </c>
      <c r="M196" s="111">
        <f t="shared" si="14"/>
        <v>0</v>
      </c>
      <c r="N196" s="111">
        <f t="shared" si="15"/>
        <v>2670</v>
      </c>
      <c r="O196" s="149"/>
      <c r="P196" s="150" t="s">
        <v>79</v>
      </c>
      <c r="Q196" s="99">
        <f t="shared" si="18"/>
        <v>18.04077639</v>
      </c>
      <c r="U196" s="111">
        <v>16.363516</v>
      </c>
      <c r="V196" s="99">
        <f t="shared" si="11"/>
        <v>0.818175799999999</v>
      </c>
      <c r="W196" s="99">
        <f t="shared" si="12"/>
        <v>17.1816918</v>
      </c>
    </row>
    <row r="197" ht="22" customHeight="1" spans="1:23">
      <c r="A197" s="108">
        <v>193</v>
      </c>
      <c r="B197" s="148" t="s">
        <v>508</v>
      </c>
      <c r="C197" s="115" t="s">
        <v>477</v>
      </c>
      <c r="D197" s="115" t="s">
        <v>509</v>
      </c>
      <c r="E197" s="152" t="s">
        <v>468</v>
      </c>
      <c r="F197" s="137">
        <v>442</v>
      </c>
      <c r="G197" s="110"/>
      <c r="H197" s="110"/>
      <c r="I197" s="111">
        <v>17.6548281</v>
      </c>
      <c r="J197" s="111"/>
      <c r="K197" s="111">
        <v>10.5</v>
      </c>
      <c r="L197" s="111">
        <f t="shared" si="13"/>
        <v>7803.4340202</v>
      </c>
      <c r="M197" s="111">
        <f t="shared" si="14"/>
        <v>0</v>
      </c>
      <c r="N197" s="111">
        <f t="shared" si="15"/>
        <v>4641</v>
      </c>
      <c r="O197" s="149"/>
      <c r="P197" s="150" t="s">
        <v>79</v>
      </c>
      <c r="Q197" s="99">
        <f t="shared" si="18"/>
        <v>18.537569505</v>
      </c>
      <c r="U197" s="111">
        <v>16.814122</v>
      </c>
      <c r="V197" s="99">
        <f t="shared" si="11"/>
        <v>0.840706099999998</v>
      </c>
      <c r="W197" s="99">
        <f t="shared" si="12"/>
        <v>17.6548281</v>
      </c>
    </row>
    <row r="198" ht="22" customHeight="1" spans="1:23">
      <c r="A198" s="108">
        <v>194</v>
      </c>
      <c r="B198" s="148" t="s">
        <v>510</v>
      </c>
      <c r="C198" s="115" t="s">
        <v>477</v>
      </c>
      <c r="D198" s="115" t="s">
        <v>511</v>
      </c>
      <c r="E198" s="152" t="s">
        <v>468</v>
      </c>
      <c r="F198" s="137">
        <v>74</v>
      </c>
      <c r="G198" s="110"/>
      <c r="H198" s="110"/>
      <c r="I198" s="111">
        <v>24.60755115</v>
      </c>
      <c r="J198" s="111"/>
      <c r="K198" s="111">
        <v>15</v>
      </c>
      <c r="L198" s="111">
        <f t="shared" si="13"/>
        <v>1820.9587851</v>
      </c>
      <c r="M198" s="111">
        <f t="shared" si="14"/>
        <v>0</v>
      </c>
      <c r="N198" s="111">
        <f t="shared" si="15"/>
        <v>1110</v>
      </c>
      <c r="O198" s="149"/>
      <c r="P198" s="150" t="s">
        <v>79</v>
      </c>
      <c r="Q198" s="99">
        <f t="shared" si="18"/>
        <v>25.8379287075</v>
      </c>
      <c r="U198" s="111">
        <v>23.435763</v>
      </c>
      <c r="V198" s="99">
        <f t="shared" si="11"/>
        <v>1.17178815</v>
      </c>
      <c r="W198" s="99">
        <f t="shared" si="12"/>
        <v>24.60755115</v>
      </c>
    </row>
    <row r="199" s="99" customFormat="1" ht="30" customHeight="1" spans="1:23">
      <c r="A199" s="108">
        <v>195</v>
      </c>
      <c r="B199" s="148" t="s">
        <v>512</v>
      </c>
      <c r="C199" s="115" t="s">
        <v>477</v>
      </c>
      <c r="D199" s="115" t="s">
        <v>513</v>
      </c>
      <c r="E199" s="152" t="s">
        <v>468</v>
      </c>
      <c r="F199" s="137">
        <v>534</v>
      </c>
      <c r="G199" s="110"/>
      <c r="H199" s="110"/>
      <c r="I199" s="111">
        <v>33.303290475</v>
      </c>
      <c r="J199" s="111"/>
      <c r="K199" s="111">
        <v>20</v>
      </c>
      <c r="L199" s="111">
        <f t="shared" ref="L199:L262" si="19">F199*I199</f>
        <v>17783.95711365</v>
      </c>
      <c r="M199" s="111">
        <f t="shared" ref="M199:M262" si="20">F199*J199</f>
        <v>0</v>
      </c>
      <c r="N199" s="111">
        <f t="shared" ref="N199:N262" si="21">F199*K199</f>
        <v>10680</v>
      </c>
      <c r="O199" s="149"/>
      <c r="P199" s="150" t="s">
        <v>79</v>
      </c>
      <c r="Q199" s="99">
        <f t="shared" ref="Q199:Q240" si="22">I199*1.05</f>
        <v>34.96845499875</v>
      </c>
      <c r="U199" s="124">
        <v>31.7174195</v>
      </c>
      <c r="V199" s="99">
        <f t="shared" ref="V199:V262" si="23">I199-U199</f>
        <v>1.585870975</v>
      </c>
      <c r="W199" s="99">
        <f t="shared" ref="W199:W262" si="24">I199-J199</f>
        <v>33.303290475</v>
      </c>
    </row>
    <row r="200" ht="29" customHeight="1" spans="1:23">
      <c r="A200" s="108">
        <v>196</v>
      </c>
      <c r="B200" s="148" t="s">
        <v>514</v>
      </c>
      <c r="C200" s="115" t="s">
        <v>477</v>
      </c>
      <c r="D200" s="115" t="s">
        <v>515</v>
      </c>
      <c r="E200" s="152" t="s">
        <v>468</v>
      </c>
      <c r="F200" s="137">
        <v>2576</v>
      </c>
      <c r="G200" s="110"/>
      <c r="H200" s="110"/>
      <c r="I200" s="111">
        <v>42.3590895</v>
      </c>
      <c r="J200" s="111"/>
      <c r="K200" s="111">
        <v>25</v>
      </c>
      <c r="L200" s="111">
        <f t="shared" si="19"/>
        <v>109117.014552</v>
      </c>
      <c r="M200" s="111">
        <f t="shared" si="20"/>
        <v>0</v>
      </c>
      <c r="N200" s="111">
        <f t="shared" si="21"/>
        <v>64400</v>
      </c>
      <c r="O200" s="149"/>
      <c r="P200" s="150" t="s">
        <v>79</v>
      </c>
      <c r="Q200" s="99">
        <f t="shared" si="22"/>
        <v>44.477043975</v>
      </c>
      <c r="U200" s="111">
        <v>40.34199</v>
      </c>
      <c r="V200" s="99">
        <f t="shared" si="23"/>
        <v>2.0170995</v>
      </c>
      <c r="W200" s="99">
        <f t="shared" si="24"/>
        <v>42.3590895</v>
      </c>
    </row>
    <row r="201" ht="31" customHeight="1" spans="1:23">
      <c r="A201" s="108">
        <v>197</v>
      </c>
      <c r="B201" s="148" t="s">
        <v>516</v>
      </c>
      <c r="C201" s="115" t="s">
        <v>517</v>
      </c>
      <c r="D201" s="115" t="s">
        <v>472</v>
      </c>
      <c r="E201" s="152" t="s">
        <v>468</v>
      </c>
      <c r="F201" s="137">
        <v>55</v>
      </c>
      <c r="G201" s="110"/>
      <c r="H201" s="110"/>
      <c r="I201" s="111">
        <v>6.10167285</v>
      </c>
      <c r="J201" s="111"/>
      <c r="K201" s="111">
        <v>4</v>
      </c>
      <c r="L201" s="111">
        <f t="shared" si="19"/>
        <v>335.59200675</v>
      </c>
      <c r="M201" s="111">
        <f t="shared" si="20"/>
        <v>0</v>
      </c>
      <c r="N201" s="111">
        <f t="shared" si="21"/>
        <v>220</v>
      </c>
      <c r="O201" s="149"/>
      <c r="P201" s="150" t="s">
        <v>79</v>
      </c>
      <c r="Q201" s="99">
        <f t="shared" si="22"/>
        <v>6.4067564925</v>
      </c>
      <c r="U201" s="111">
        <v>5.811117</v>
      </c>
      <c r="V201" s="99">
        <f t="shared" si="23"/>
        <v>0.29055585</v>
      </c>
      <c r="W201" s="99">
        <f t="shared" si="24"/>
        <v>6.10167285</v>
      </c>
    </row>
    <row r="202" ht="28" customHeight="1" spans="1:23">
      <c r="A202" s="108">
        <v>198</v>
      </c>
      <c r="B202" s="148" t="s">
        <v>518</v>
      </c>
      <c r="C202" s="115" t="s">
        <v>519</v>
      </c>
      <c r="D202" s="115" t="s">
        <v>472</v>
      </c>
      <c r="E202" s="152" t="s">
        <v>468</v>
      </c>
      <c r="F202" s="137">
        <v>2429</v>
      </c>
      <c r="G202" s="110"/>
      <c r="H202" s="110"/>
      <c r="I202" s="111">
        <v>6.10167285</v>
      </c>
      <c r="J202" s="111"/>
      <c r="K202" s="111">
        <v>4</v>
      </c>
      <c r="L202" s="111">
        <f t="shared" si="19"/>
        <v>14820.96335265</v>
      </c>
      <c r="M202" s="111">
        <f t="shared" si="20"/>
        <v>0</v>
      </c>
      <c r="N202" s="111">
        <f t="shared" si="21"/>
        <v>9716</v>
      </c>
      <c r="O202" s="149"/>
      <c r="P202" s="150" t="s">
        <v>79</v>
      </c>
      <c r="Q202" s="99">
        <f t="shared" si="22"/>
        <v>6.4067564925</v>
      </c>
      <c r="U202" s="111">
        <v>5.811117</v>
      </c>
      <c r="V202" s="99">
        <f t="shared" si="23"/>
        <v>0.29055585</v>
      </c>
      <c r="W202" s="99">
        <f t="shared" si="24"/>
        <v>6.10167285</v>
      </c>
    </row>
    <row r="203" ht="22" customHeight="1" spans="1:23">
      <c r="A203" s="108">
        <v>199</v>
      </c>
      <c r="B203" s="148" t="s">
        <v>520</v>
      </c>
      <c r="C203" s="115" t="s">
        <v>519</v>
      </c>
      <c r="D203" s="115" t="s">
        <v>521</v>
      </c>
      <c r="E203" s="152" t="s">
        <v>468</v>
      </c>
      <c r="F203" s="137">
        <v>534</v>
      </c>
      <c r="G203" s="110"/>
      <c r="H203" s="110"/>
      <c r="I203" s="111">
        <v>6.14035695</v>
      </c>
      <c r="J203" s="111"/>
      <c r="K203" s="111">
        <v>4</v>
      </c>
      <c r="L203" s="111">
        <f t="shared" si="19"/>
        <v>3278.9506113</v>
      </c>
      <c r="M203" s="111">
        <f t="shared" si="20"/>
        <v>0</v>
      </c>
      <c r="N203" s="111">
        <f t="shared" si="21"/>
        <v>2136</v>
      </c>
      <c r="O203" s="149"/>
      <c r="P203" s="150" t="s">
        <v>79</v>
      </c>
      <c r="Q203" s="99">
        <f t="shared" si="22"/>
        <v>6.4473747975</v>
      </c>
      <c r="U203" s="111">
        <v>5.847959</v>
      </c>
      <c r="V203" s="99">
        <f t="shared" si="23"/>
        <v>0.29239795</v>
      </c>
      <c r="W203" s="99">
        <f t="shared" si="24"/>
        <v>6.14035695</v>
      </c>
    </row>
    <row r="204" ht="33" customHeight="1" spans="1:23">
      <c r="A204" s="108">
        <v>200</v>
      </c>
      <c r="B204" s="148" t="s">
        <v>522</v>
      </c>
      <c r="C204" s="115" t="s">
        <v>519</v>
      </c>
      <c r="D204" s="115" t="s">
        <v>475</v>
      </c>
      <c r="E204" s="152" t="s">
        <v>468</v>
      </c>
      <c r="F204" s="137">
        <v>368</v>
      </c>
      <c r="G204" s="110"/>
      <c r="H204" s="110"/>
      <c r="I204" s="111">
        <v>7.6713546</v>
      </c>
      <c r="J204" s="111"/>
      <c r="K204" s="111">
        <v>5</v>
      </c>
      <c r="L204" s="111">
        <f t="shared" si="19"/>
        <v>2823.0584928</v>
      </c>
      <c r="M204" s="111">
        <f t="shared" si="20"/>
        <v>0</v>
      </c>
      <c r="N204" s="111">
        <f t="shared" si="21"/>
        <v>1840</v>
      </c>
      <c r="O204" s="149"/>
      <c r="P204" s="150" t="s">
        <v>79</v>
      </c>
      <c r="Q204" s="99">
        <f t="shared" si="22"/>
        <v>8.05492233</v>
      </c>
      <c r="U204" s="111">
        <v>7.306052</v>
      </c>
      <c r="V204" s="99">
        <f t="shared" si="23"/>
        <v>0.3653026</v>
      </c>
      <c r="W204" s="99">
        <f t="shared" si="24"/>
        <v>7.6713546</v>
      </c>
    </row>
    <row r="205" ht="22" customHeight="1" spans="1:23">
      <c r="A205" s="108">
        <v>201</v>
      </c>
      <c r="B205" s="148" t="s">
        <v>523</v>
      </c>
      <c r="C205" s="115" t="s">
        <v>519</v>
      </c>
      <c r="D205" s="115" t="s">
        <v>493</v>
      </c>
      <c r="E205" s="152" t="s">
        <v>468</v>
      </c>
      <c r="F205" s="137">
        <v>202</v>
      </c>
      <c r="G205" s="110"/>
      <c r="H205" s="110"/>
      <c r="I205" s="111">
        <v>9.21425505</v>
      </c>
      <c r="J205" s="111"/>
      <c r="K205" s="111">
        <v>6</v>
      </c>
      <c r="L205" s="111">
        <f t="shared" si="19"/>
        <v>1861.2795201</v>
      </c>
      <c r="M205" s="111">
        <f t="shared" si="20"/>
        <v>0</v>
      </c>
      <c r="N205" s="111">
        <f t="shared" si="21"/>
        <v>1212</v>
      </c>
      <c r="O205" s="149"/>
      <c r="P205" s="150" t="s">
        <v>79</v>
      </c>
      <c r="Q205" s="99">
        <f t="shared" si="22"/>
        <v>9.6749678025</v>
      </c>
      <c r="U205" s="111">
        <v>8.775481</v>
      </c>
      <c r="V205" s="99">
        <f t="shared" si="23"/>
        <v>0.438774050000001</v>
      </c>
      <c r="W205" s="99">
        <f t="shared" si="24"/>
        <v>9.21425505</v>
      </c>
    </row>
    <row r="206" ht="22" customHeight="1" spans="1:23">
      <c r="A206" s="108">
        <v>202</v>
      </c>
      <c r="B206" s="148" t="s">
        <v>524</v>
      </c>
      <c r="C206" s="115" t="s">
        <v>519</v>
      </c>
      <c r="D206" s="115" t="s">
        <v>507</v>
      </c>
      <c r="E206" s="152" t="s">
        <v>468</v>
      </c>
      <c r="F206" s="137">
        <v>552</v>
      </c>
      <c r="G206" s="110"/>
      <c r="H206" s="110"/>
      <c r="I206" s="111">
        <v>19.7259153</v>
      </c>
      <c r="J206" s="111"/>
      <c r="K206" s="111">
        <v>12</v>
      </c>
      <c r="L206" s="111">
        <f t="shared" si="19"/>
        <v>10888.7052456</v>
      </c>
      <c r="M206" s="111">
        <f t="shared" si="20"/>
        <v>0</v>
      </c>
      <c r="N206" s="111">
        <f t="shared" si="21"/>
        <v>6624</v>
      </c>
      <c r="O206" s="149"/>
      <c r="P206" s="150" t="s">
        <v>79</v>
      </c>
      <c r="Q206" s="99">
        <f t="shared" si="22"/>
        <v>20.712211065</v>
      </c>
      <c r="U206" s="111">
        <v>18.786586</v>
      </c>
      <c r="V206" s="99">
        <f t="shared" si="23"/>
        <v>0.939329300000001</v>
      </c>
      <c r="W206" s="99">
        <f t="shared" si="24"/>
        <v>19.7259153</v>
      </c>
    </row>
    <row r="207" ht="33" customHeight="1" spans="1:23">
      <c r="A207" s="108">
        <v>203</v>
      </c>
      <c r="B207" s="148" t="s">
        <v>525</v>
      </c>
      <c r="C207" s="115" t="s">
        <v>526</v>
      </c>
      <c r="D207" s="115" t="s">
        <v>527</v>
      </c>
      <c r="E207" s="152" t="s">
        <v>468</v>
      </c>
      <c r="F207" s="137">
        <v>1012</v>
      </c>
      <c r="G207" s="110"/>
      <c r="H207" s="110"/>
      <c r="I207" s="111">
        <v>9.233091231</v>
      </c>
      <c r="J207" s="111"/>
      <c r="K207" s="111">
        <v>6</v>
      </c>
      <c r="L207" s="111">
        <f t="shared" si="19"/>
        <v>9343.888325772</v>
      </c>
      <c r="M207" s="111">
        <f t="shared" si="20"/>
        <v>0</v>
      </c>
      <c r="N207" s="111">
        <f t="shared" si="21"/>
        <v>6072</v>
      </c>
      <c r="O207" s="149"/>
      <c r="P207" s="150" t="s">
        <v>79</v>
      </c>
      <c r="Q207" s="99">
        <f t="shared" si="22"/>
        <v>9.69474579255</v>
      </c>
      <c r="U207" s="111">
        <v>8.79342022</v>
      </c>
      <c r="V207" s="99">
        <f t="shared" si="23"/>
        <v>0.439671011</v>
      </c>
      <c r="W207" s="99">
        <f t="shared" si="24"/>
        <v>9.233091231</v>
      </c>
    </row>
    <row r="208" ht="34" customHeight="1" spans="1:23">
      <c r="A208" s="108">
        <v>204</v>
      </c>
      <c r="B208" s="148" t="s">
        <v>528</v>
      </c>
      <c r="C208" s="115" t="s">
        <v>526</v>
      </c>
      <c r="D208" s="115" t="s">
        <v>529</v>
      </c>
      <c r="E208" s="152" t="s">
        <v>468</v>
      </c>
      <c r="F208" s="137">
        <v>184</v>
      </c>
      <c r="G208" s="110"/>
      <c r="H208" s="110"/>
      <c r="I208" s="111">
        <v>27.52968855</v>
      </c>
      <c r="J208" s="111"/>
      <c r="K208" s="111">
        <v>15</v>
      </c>
      <c r="L208" s="111">
        <f t="shared" si="19"/>
        <v>5065.4626932</v>
      </c>
      <c r="M208" s="111">
        <f t="shared" si="20"/>
        <v>0</v>
      </c>
      <c r="N208" s="111">
        <f t="shared" si="21"/>
        <v>2760</v>
      </c>
      <c r="O208" s="149"/>
      <c r="P208" s="150" t="s">
        <v>79</v>
      </c>
      <c r="Q208" s="99">
        <f t="shared" si="22"/>
        <v>28.9061729775</v>
      </c>
      <c r="U208" s="111">
        <v>26.218751</v>
      </c>
      <c r="V208" s="99">
        <f t="shared" si="23"/>
        <v>1.31093755</v>
      </c>
      <c r="W208" s="99">
        <f t="shared" si="24"/>
        <v>27.52968855</v>
      </c>
    </row>
    <row r="209" ht="22" customHeight="1" spans="1:23">
      <c r="A209" s="108">
        <v>205</v>
      </c>
      <c r="B209" s="148" t="s">
        <v>530</v>
      </c>
      <c r="C209" s="115" t="s">
        <v>526</v>
      </c>
      <c r="D209" s="115" t="s">
        <v>531</v>
      </c>
      <c r="E209" s="152" t="s">
        <v>468</v>
      </c>
      <c r="F209" s="137">
        <v>184</v>
      </c>
      <c r="G209" s="110"/>
      <c r="H209" s="110"/>
      <c r="I209" s="111">
        <v>23.7047981625</v>
      </c>
      <c r="J209" s="111"/>
      <c r="K209" s="111">
        <v>15</v>
      </c>
      <c r="L209" s="111">
        <f t="shared" si="19"/>
        <v>4361.6828619</v>
      </c>
      <c r="M209" s="111">
        <f t="shared" si="20"/>
        <v>0</v>
      </c>
      <c r="N209" s="111">
        <f t="shared" si="21"/>
        <v>2760</v>
      </c>
      <c r="O209" s="149"/>
      <c r="P209" s="150" t="s">
        <v>79</v>
      </c>
      <c r="Q209" s="99">
        <f t="shared" si="22"/>
        <v>24.890038070625</v>
      </c>
      <c r="U209" s="111">
        <v>22.57599825</v>
      </c>
      <c r="V209" s="99">
        <f t="shared" si="23"/>
        <v>1.1287999125</v>
      </c>
      <c r="W209" s="99">
        <f t="shared" si="24"/>
        <v>23.7047981625</v>
      </c>
    </row>
    <row r="210" ht="22" customHeight="1" spans="1:23">
      <c r="A210" s="108">
        <v>206</v>
      </c>
      <c r="B210" s="148" t="s">
        <v>532</v>
      </c>
      <c r="C210" s="115" t="s">
        <v>526</v>
      </c>
      <c r="D210" s="115" t="s">
        <v>533</v>
      </c>
      <c r="E210" s="152" t="s">
        <v>468</v>
      </c>
      <c r="F210" s="137">
        <v>184</v>
      </c>
      <c r="G210" s="110"/>
      <c r="H210" s="110"/>
      <c r="I210" s="111">
        <v>15.85363689</v>
      </c>
      <c r="J210" s="111"/>
      <c r="K210" s="111">
        <v>10</v>
      </c>
      <c r="L210" s="111">
        <f t="shared" si="19"/>
        <v>2917.06918776</v>
      </c>
      <c r="M210" s="111">
        <f t="shared" si="20"/>
        <v>0</v>
      </c>
      <c r="N210" s="111">
        <f t="shared" si="21"/>
        <v>1840</v>
      </c>
      <c r="O210" s="149"/>
      <c r="P210" s="150" t="s">
        <v>79</v>
      </c>
      <c r="Q210" s="99">
        <f t="shared" si="22"/>
        <v>16.6463187345</v>
      </c>
      <c r="U210" s="111">
        <v>15.0987018</v>
      </c>
      <c r="V210" s="99">
        <f t="shared" si="23"/>
        <v>0.75493509</v>
      </c>
      <c r="W210" s="99">
        <f t="shared" si="24"/>
        <v>15.85363689</v>
      </c>
    </row>
    <row r="211" ht="22" customHeight="1" spans="1:23">
      <c r="A211" s="108">
        <v>207</v>
      </c>
      <c r="B211" s="148" t="s">
        <v>534</v>
      </c>
      <c r="C211" s="115" t="s">
        <v>526</v>
      </c>
      <c r="D211" s="115" t="s">
        <v>535</v>
      </c>
      <c r="E211" s="152" t="s">
        <v>468</v>
      </c>
      <c r="F211" s="137">
        <v>368</v>
      </c>
      <c r="G211" s="110"/>
      <c r="H211" s="110"/>
      <c r="I211" s="111">
        <v>38.1633525</v>
      </c>
      <c r="J211" s="111"/>
      <c r="K211" s="111">
        <v>20</v>
      </c>
      <c r="L211" s="111">
        <f t="shared" si="19"/>
        <v>14044.11372</v>
      </c>
      <c r="M211" s="111">
        <f t="shared" si="20"/>
        <v>0</v>
      </c>
      <c r="N211" s="111">
        <f t="shared" si="21"/>
        <v>7360</v>
      </c>
      <c r="O211" s="149"/>
      <c r="P211" s="150" t="s">
        <v>79</v>
      </c>
      <c r="Q211" s="99">
        <f t="shared" si="22"/>
        <v>40.071520125</v>
      </c>
      <c r="U211" s="111">
        <v>36.34605</v>
      </c>
      <c r="V211" s="99">
        <f t="shared" si="23"/>
        <v>1.8173025</v>
      </c>
      <c r="W211" s="99">
        <f t="shared" si="24"/>
        <v>38.1633525</v>
      </c>
    </row>
    <row r="212" ht="22" customHeight="1" spans="1:23">
      <c r="A212" s="108">
        <v>208</v>
      </c>
      <c r="B212" s="148" t="s">
        <v>536</v>
      </c>
      <c r="C212" s="115" t="s">
        <v>537</v>
      </c>
      <c r="D212" s="115" t="s">
        <v>535</v>
      </c>
      <c r="E212" s="152" t="s">
        <v>468</v>
      </c>
      <c r="F212" s="137">
        <v>110</v>
      </c>
      <c r="G212" s="110"/>
      <c r="H212" s="110"/>
      <c r="I212" s="111">
        <v>38.1633525</v>
      </c>
      <c r="J212" s="111"/>
      <c r="K212" s="111">
        <v>20</v>
      </c>
      <c r="L212" s="111">
        <f t="shared" si="19"/>
        <v>4197.968775</v>
      </c>
      <c r="M212" s="111">
        <f t="shared" si="20"/>
        <v>0</v>
      </c>
      <c r="N212" s="111">
        <f t="shared" si="21"/>
        <v>2200</v>
      </c>
      <c r="O212" s="149"/>
      <c r="P212" s="150" t="s">
        <v>79</v>
      </c>
      <c r="Q212" s="99">
        <f t="shared" si="22"/>
        <v>40.071520125</v>
      </c>
      <c r="U212" s="111">
        <v>36.34605</v>
      </c>
      <c r="V212" s="99">
        <f t="shared" si="23"/>
        <v>1.8173025</v>
      </c>
      <c r="W212" s="99">
        <f t="shared" si="24"/>
        <v>38.1633525</v>
      </c>
    </row>
    <row r="213" ht="22" customHeight="1" spans="1:23">
      <c r="A213" s="108">
        <v>209</v>
      </c>
      <c r="B213" s="148" t="s">
        <v>538</v>
      </c>
      <c r="C213" s="115" t="s">
        <v>539</v>
      </c>
      <c r="D213" s="115" t="s">
        <v>540</v>
      </c>
      <c r="E213" s="152" t="s">
        <v>468</v>
      </c>
      <c r="F213" s="137">
        <v>543</v>
      </c>
      <c r="G213" s="110"/>
      <c r="H213" s="110"/>
      <c r="I213" s="111">
        <v>6.12250275</v>
      </c>
      <c r="J213" s="111"/>
      <c r="K213" s="111">
        <v>4</v>
      </c>
      <c r="L213" s="111">
        <f t="shared" si="19"/>
        <v>3324.51899325</v>
      </c>
      <c r="M213" s="111">
        <f t="shared" si="20"/>
        <v>0</v>
      </c>
      <c r="N213" s="111">
        <f t="shared" si="21"/>
        <v>2172</v>
      </c>
      <c r="O213" s="149"/>
      <c r="P213" s="150" t="s">
        <v>79</v>
      </c>
      <c r="Q213" s="99">
        <f t="shared" si="22"/>
        <v>6.4286278875</v>
      </c>
      <c r="U213" s="111">
        <v>5.830955</v>
      </c>
      <c r="V213" s="99">
        <f t="shared" si="23"/>
        <v>0.291547749999999</v>
      </c>
      <c r="W213" s="99">
        <f t="shared" si="24"/>
        <v>6.12250275</v>
      </c>
    </row>
    <row r="214" ht="22" customHeight="1" spans="1:23">
      <c r="A214" s="108">
        <v>210</v>
      </c>
      <c r="B214" s="148" t="s">
        <v>541</v>
      </c>
      <c r="C214" s="115" t="s">
        <v>539</v>
      </c>
      <c r="D214" s="115" t="s">
        <v>542</v>
      </c>
      <c r="E214" s="152" t="s">
        <v>468</v>
      </c>
      <c r="F214" s="137">
        <v>228</v>
      </c>
      <c r="G214" s="110"/>
      <c r="H214" s="110"/>
      <c r="I214" s="111">
        <v>6.33972885</v>
      </c>
      <c r="J214" s="111"/>
      <c r="K214" s="111">
        <v>4</v>
      </c>
      <c r="L214" s="111">
        <f t="shared" si="19"/>
        <v>1445.4581778</v>
      </c>
      <c r="M214" s="111">
        <f t="shared" si="20"/>
        <v>0</v>
      </c>
      <c r="N214" s="111">
        <f t="shared" si="21"/>
        <v>912</v>
      </c>
      <c r="O214" s="149"/>
      <c r="P214" s="150" t="s">
        <v>79</v>
      </c>
      <c r="Q214" s="99">
        <f t="shared" si="22"/>
        <v>6.6567152925</v>
      </c>
      <c r="U214" s="111">
        <v>6.037837</v>
      </c>
      <c r="V214" s="99">
        <f t="shared" si="23"/>
        <v>0.301891850000001</v>
      </c>
      <c r="W214" s="99">
        <f t="shared" si="24"/>
        <v>6.33972885</v>
      </c>
    </row>
    <row r="215" ht="28" customHeight="1" spans="1:23">
      <c r="A215" s="108">
        <v>211</v>
      </c>
      <c r="B215" s="148" t="s">
        <v>543</v>
      </c>
      <c r="C215" s="115" t="s">
        <v>544</v>
      </c>
      <c r="D215" s="115" t="s">
        <v>472</v>
      </c>
      <c r="E215" s="152" t="s">
        <v>468</v>
      </c>
      <c r="F215" s="137">
        <v>386</v>
      </c>
      <c r="G215" s="110"/>
      <c r="H215" s="110"/>
      <c r="I215" s="111">
        <v>6.12845415</v>
      </c>
      <c r="J215" s="111"/>
      <c r="K215" s="111">
        <v>4</v>
      </c>
      <c r="L215" s="111">
        <f t="shared" si="19"/>
        <v>2365.5833019</v>
      </c>
      <c r="M215" s="111">
        <f t="shared" si="20"/>
        <v>0</v>
      </c>
      <c r="N215" s="111">
        <f t="shared" si="21"/>
        <v>1544</v>
      </c>
      <c r="O215" s="149"/>
      <c r="P215" s="150" t="s">
        <v>79</v>
      </c>
      <c r="Q215" s="99">
        <f t="shared" si="22"/>
        <v>6.4348768575</v>
      </c>
      <c r="U215" s="111">
        <v>5.836623</v>
      </c>
      <c r="V215" s="99">
        <f t="shared" si="23"/>
        <v>0.291831149999999</v>
      </c>
      <c r="W215" s="99">
        <f t="shared" si="24"/>
        <v>6.12845415</v>
      </c>
    </row>
    <row r="216" ht="22" customHeight="1" spans="1:23">
      <c r="A216" s="108">
        <v>212</v>
      </c>
      <c r="B216" s="148" t="s">
        <v>545</v>
      </c>
      <c r="C216" s="115" t="s">
        <v>544</v>
      </c>
      <c r="D216" s="115" t="s">
        <v>546</v>
      </c>
      <c r="E216" s="152" t="s">
        <v>468</v>
      </c>
      <c r="F216" s="137">
        <v>5721</v>
      </c>
      <c r="G216" s="110"/>
      <c r="H216" s="110"/>
      <c r="I216" s="111">
        <v>6.07489155</v>
      </c>
      <c r="J216" s="111"/>
      <c r="K216" s="111">
        <v>4</v>
      </c>
      <c r="L216" s="111">
        <f t="shared" si="19"/>
        <v>34754.45455755</v>
      </c>
      <c r="M216" s="111">
        <f t="shared" si="20"/>
        <v>0</v>
      </c>
      <c r="N216" s="111">
        <f t="shared" si="21"/>
        <v>22884</v>
      </c>
      <c r="O216" s="149"/>
      <c r="P216" s="150" t="s">
        <v>79</v>
      </c>
      <c r="Q216" s="99">
        <f t="shared" si="22"/>
        <v>6.3786361275</v>
      </c>
      <c r="U216" s="111">
        <v>5.785611</v>
      </c>
      <c r="V216" s="99">
        <f t="shared" si="23"/>
        <v>0.28928055</v>
      </c>
      <c r="W216" s="99">
        <f t="shared" si="24"/>
        <v>6.07489155</v>
      </c>
    </row>
    <row r="217" ht="22" customHeight="1" spans="1:23">
      <c r="A217" s="108">
        <v>213</v>
      </c>
      <c r="B217" s="148" t="s">
        <v>547</v>
      </c>
      <c r="C217" s="115" t="s">
        <v>544</v>
      </c>
      <c r="D217" s="115" t="s">
        <v>548</v>
      </c>
      <c r="E217" s="152" t="s">
        <v>468</v>
      </c>
      <c r="F217" s="137">
        <v>3224</v>
      </c>
      <c r="G217" s="110"/>
      <c r="H217" s="110"/>
      <c r="I217" s="111">
        <v>7.59249855</v>
      </c>
      <c r="J217" s="111"/>
      <c r="K217" s="111">
        <v>5</v>
      </c>
      <c r="L217" s="111">
        <f t="shared" si="19"/>
        <v>24478.2153252</v>
      </c>
      <c r="M217" s="111">
        <f t="shared" si="20"/>
        <v>0</v>
      </c>
      <c r="N217" s="111">
        <f t="shared" si="21"/>
        <v>16120</v>
      </c>
      <c r="O217" s="149"/>
      <c r="P217" s="150" t="s">
        <v>79</v>
      </c>
      <c r="Q217" s="99">
        <f t="shared" si="22"/>
        <v>7.9721234775</v>
      </c>
      <c r="U217" s="111">
        <v>7.230951</v>
      </c>
      <c r="V217" s="99">
        <f t="shared" si="23"/>
        <v>0.36154755</v>
      </c>
      <c r="W217" s="99">
        <f t="shared" si="24"/>
        <v>7.59249855</v>
      </c>
    </row>
    <row r="218" ht="22" customHeight="1" spans="1:23">
      <c r="A218" s="108">
        <v>214</v>
      </c>
      <c r="B218" s="148" t="s">
        <v>549</v>
      </c>
      <c r="C218" s="115" t="s">
        <v>544</v>
      </c>
      <c r="D218" s="115" t="s">
        <v>550</v>
      </c>
      <c r="E218" s="152" t="s">
        <v>468</v>
      </c>
      <c r="F218" s="137">
        <v>3485</v>
      </c>
      <c r="G218" s="110"/>
      <c r="H218" s="110"/>
      <c r="I218" s="111">
        <v>9.12200835</v>
      </c>
      <c r="J218" s="111"/>
      <c r="K218" s="111">
        <v>6</v>
      </c>
      <c r="L218" s="111">
        <f t="shared" si="19"/>
        <v>31790.19909975</v>
      </c>
      <c r="M218" s="111">
        <f t="shared" si="20"/>
        <v>0</v>
      </c>
      <c r="N218" s="111">
        <f t="shared" si="21"/>
        <v>20910</v>
      </c>
      <c r="O218" s="149"/>
      <c r="P218" s="150" t="s">
        <v>79</v>
      </c>
      <c r="Q218" s="99">
        <f t="shared" si="22"/>
        <v>9.5781087675</v>
      </c>
      <c r="U218" s="111">
        <v>8.687627</v>
      </c>
      <c r="V218" s="99">
        <f t="shared" si="23"/>
        <v>0.434381349999999</v>
      </c>
      <c r="W218" s="99">
        <f t="shared" si="24"/>
        <v>9.12200835</v>
      </c>
    </row>
    <row r="219" ht="22" customHeight="1" spans="1:23">
      <c r="A219" s="108">
        <v>215</v>
      </c>
      <c r="B219" s="148" t="s">
        <v>551</v>
      </c>
      <c r="C219" s="115" t="s">
        <v>544</v>
      </c>
      <c r="D219" s="115" t="s">
        <v>552</v>
      </c>
      <c r="E219" s="152" t="s">
        <v>468</v>
      </c>
      <c r="F219" s="137">
        <v>1058</v>
      </c>
      <c r="G219" s="110"/>
      <c r="H219" s="110"/>
      <c r="I219" s="111">
        <v>6.2281401</v>
      </c>
      <c r="J219" s="111"/>
      <c r="K219" s="111">
        <v>4</v>
      </c>
      <c r="L219" s="111">
        <f t="shared" si="19"/>
        <v>6589.3722258</v>
      </c>
      <c r="M219" s="111">
        <f t="shared" si="20"/>
        <v>0</v>
      </c>
      <c r="N219" s="111">
        <f t="shared" si="21"/>
        <v>4232</v>
      </c>
      <c r="O219" s="149"/>
      <c r="P219" s="150" t="s">
        <v>79</v>
      </c>
      <c r="Q219" s="99">
        <f t="shared" si="22"/>
        <v>6.539547105</v>
      </c>
      <c r="U219" s="111">
        <v>5.931562</v>
      </c>
      <c r="V219" s="99">
        <f t="shared" si="23"/>
        <v>0.296578100000001</v>
      </c>
      <c r="W219" s="99">
        <f t="shared" si="24"/>
        <v>6.2281401</v>
      </c>
    </row>
    <row r="220" ht="22" customHeight="1" spans="1:23">
      <c r="A220" s="108">
        <v>216</v>
      </c>
      <c r="B220" s="148" t="s">
        <v>553</v>
      </c>
      <c r="C220" s="115" t="s">
        <v>544</v>
      </c>
      <c r="D220" s="115" t="s">
        <v>554</v>
      </c>
      <c r="E220" s="152" t="s">
        <v>468</v>
      </c>
      <c r="F220" s="137">
        <v>672</v>
      </c>
      <c r="G220" s="110"/>
      <c r="H220" s="110"/>
      <c r="I220" s="111">
        <v>6.2757513</v>
      </c>
      <c r="J220" s="111"/>
      <c r="K220" s="111">
        <v>4</v>
      </c>
      <c r="L220" s="111">
        <f t="shared" si="19"/>
        <v>4217.3048736</v>
      </c>
      <c r="M220" s="111">
        <f t="shared" si="20"/>
        <v>0</v>
      </c>
      <c r="N220" s="111">
        <f t="shared" si="21"/>
        <v>2688</v>
      </c>
      <c r="O220" s="149"/>
      <c r="P220" s="150" t="s">
        <v>79</v>
      </c>
      <c r="Q220" s="99">
        <f t="shared" si="22"/>
        <v>6.589538865</v>
      </c>
      <c r="U220" s="111">
        <v>5.976906</v>
      </c>
      <c r="V220" s="99">
        <f t="shared" si="23"/>
        <v>0.2988453</v>
      </c>
      <c r="W220" s="99">
        <f t="shared" si="24"/>
        <v>6.2757513</v>
      </c>
    </row>
    <row r="221" ht="22" customHeight="1" spans="1:23">
      <c r="A221" s="108">
        <v>217</v>
      </c>
      <c r="B221" s="148" t="s">
        <v>555</v>
      </c>
      <c r="C221" s="115" t="s">
        <v>544</v>
      </c>
      <c r="D221" s="115" t="s">
        <v>556</v>
      </c>
      <c r="E221" s="152" t="s">
        <v>468</v>
      </c>
      <c r="F221" s="137">
        <v>166</v>
      </c>
      <c r="G221" s="110"/>
      <c r="H221" s="110"/>
      <c r="I221" s="111">
        <v>6.3174111</v>
      </c>
      <c r="J221" s="111"/>
      <c r="K221" s="111">
        <v>4</v>
      </c>
      <c r="L221" s="111">
        <f t="shared" si="19"/>
        <v>1048.6902426</v>
      </c>
      <c r="M221" s="111">
        <f t="shared" si="20"/>
        <v>0</v>
      </c>
      <c r="N221" s="111">
        <f t="shared" si="21"/>
        <v>664</v>
      </c>
      <c r="O221" s="149"/>
      <c r="P221" s="150" t="s">
        <v>79</v>
      </c>
      <c r="Q221" s="99">
        <f t="shared" si="22"/>
        <v>6.633281655</v>
      </c>
      <c r="U221" s="111">
        <v>6.016582</v>
      </c>
      <c r="V221" s="99">
        <f t="shared" si="23"/>
        <v>0.300829100000001</v>
      </c>
      <c r="W221" s="99">
        <f t="shared" si="24"/>
        <v>6.3174111</v>
      </c>
    </row>
    <row r="222" ht="22" customHeight="1" spans="1:23">
      <c r="A222" s="108">
        <v>218</v>
      </c>
      <c r="B222" s="148" t="s">
        <v>557</v>
      </c>
      <c r="C222" s="115" t="s">
        <v>544</v>
      </c>
      <c r="D222" s="115" t="s">
        <v>558</v>
      </c>
      <c r="E222" s="152" t="s">
        <v>468</v>
      </c>
      <c r="F222" s="137">
        <v>294</v>
      </c>
      <c r="G222" s="110"/>
      <c r="H222" s="110"/>
      <c r="I222" s="111">
        <v>7.84840875</v>
      </c>
      <c r="J222" s="111"/>
      <c r="K222" s="111">
        <v>5</v>
      </c>
      <c r="L222" s="111">
        <f t="shared" si="19"/>
        <v>2307.4321725</v>
      </c>
      <c r="M222" s="111">
        <f t="shared" si="20"/>
        <v>0</v>
      </c>
      <c r="N222" s="111">
        <f t="shared" si="21"/>
        <v>1470</v>
      </c>
      <c r="O222" s="149"/>
      <c r="P222" s="150" t="s">
        <v>79</v>
      </c>
      <c r="Q222" s="99">
        <f t="shared" si="22"/>
        <v>8.2408291875</v>
      </c>
      <c r="U222" s="111">
        <v>7.474675</v>
      </c>
      <c r="V222" s="99">
        <f t="shared" si="23"/>
        <v>0.37373375</v>
      </c>
      <c r="W222" s="99">
        <f t="shared" si="24"/>
        <v>7.84840875</v>
      </c>
    </row>
    <row r="223" ht="22" customHeight="1" spans="1:23">
      <c r="A223" s="108">
        <v>219</v>
      </c>
      <c r="B223" s="148" t="s">
        <v>559</v>
      </c>
      <c r="C223" s="115" t="s">
        <v>544</v>
      </c>
      <c r="D223" s="115" t="s">
        <v>560</v>
      </c>
      <c r="E223" s="152" t="s">
        <v>468</v>
      </c>
      <c r="F223" s="137">
        <v>331</v>
      </c>
      <c r="G223" s="110"/>
      <c r="H223" s="110"/>
      <c r="I223" s="111">
        <v>7.9242891</v>
      </c>
      <c r="J223" s="111"/>
      <c r="K223" s="111">
        <v>5</v>
      </c>
      <c r="L223" s="111">
        <f t="shared" si="19"/>
        <v>2622.9396921</v>
      </c>
      <c r="M223" s="111">
        <f t="shared" si="20"/>
        <v>0</v>
      </c>
      <c r="N223" s="111">
        <f t="shared" si="21"/>
        <v>1655</v>
      </c>
      <c r="O223" s="149"/>
      <c r="P223" s="150" t="s">
        <v>79</v>
      </c>
      <c r="Q223" s="99">
        <f t="shared" si="22"/>
        <v>8.320503555</v>
      </c>
      <c r="U223" s="111">
        <v>7.546942</v>
      </c>
      <c r="V223" s="99">
        <f t="shared" si="23"/>
        <v>0.377347100000001</v>
      </c>
      <c r="W223" s="99">
        <f t="shared" si="24"/>
        <v>7.9242891</v>
      </c>
    </row>
    <row r="224" ht="22" customHeight="1" spans="1:23">
      <c r="A224" s="108">
        <v>220</v>
      </c>
      <c r="B224" s="148" t="s">
        <v>561</v>
      </c>
      <c r="C224" s="115" t="s">
        <v>544</v>
      </c>
      <c r="D224" s="115" t="s">
        <v>562</v>
      </c>
      <c r="E224" s="152" t="s">
        <v>468</v>
      </c>
      <c r="F224" s="137">
        <v>129</v>
      </c>
      <c r="G224" s="110"/>
      <c r="H224" s="110"/>
      <c r="I224" s="111">
        <v>8.08348905</v>
      </c>
      <c r="J224" s="111"/>
      <c r="K224" s="111">
        <v>5</v>
      </c>
      <c r="L224" s="111">
        <f t="shared" si="19"/>
        <v>1042.77008745</v>
      </c>
      <c r="M224" s="111">
        <f t="shared" si="20"/>
        <v>0</v>
      </c>
      <c r="N224" s="111">
        <f t="shared" si="21"/>
        <v>645</v>
      </c>
      <c r="O224" s="149"/>
      <c r="P224" s="150" t="s">
        <v>79</v>
      </c>
      <c r="Q224" s="99">
        <f t="shared" si="22"/>
        <v>8.4876635025</v>
      </c>
      <c r="U224" s="111">
        <v>7.698561</v>
      </c>
      <c r="V224" s="99">
        <f t="shared" si="23"/>
        <v>0.384928050000001</v>
      </c>
      <c r="W224" s="99">
        <f t="shared" si="24"/>
        <v>8.08348905</v>
      </c>
    </row>
    <row r="225" ht="22" customHeight="1" spans="1:23">
      <c r="A225" s="108">
        <v>221</v>
      </c>
      <c r="B225" s="148" t="s">
        <v>563</v>
      </c>
      <c r="C225" s="115" t="s">
        <v>564</v>
      </c>
      <c r="D225" s="115" t="s">
        <v>472</v>
      </c>
      <c r="E225" s="152" t="s">
        <v>468</v>
      </c>
      <c r="F225" s="137">
        <v>228</v>
      </c>
      <c r="G225" s="110"/>
      <c r="H225" s="110"/>
      <c r="I225" s="111">
        <v>6.1477962</v>
      </c>
      <c r="J225" s="111"/>
      <c r="K225" s="111">
        <v>4</v>
      </c>
      <c r="L225" s="111">
        <f t="shared" si="19"/>
        <v>1401.6975336</v>
      </c>
      <c r="M225" s="111">
        <f t="shared" si="20"/>
        <v>0</v>
      </c>
      <c r="N225" s="111">
        <f t="shared" si="21"/>
        <v>912</v>
      </c>
      <c r="O225" s="149"/>
      <c r="P225" s="150" t="s">
        <v>79</v>
      </c>
      <c r="Q225" s="99">
        <f t="shared" si="22"/>
        <v>6.45518601</v>
      </c>
      <c r="U225" s="111">
        <v>5.855044</v>
      </c>
      <c r="V225" s="99">
        <f t="shared" si="23"/>
        <v>0.2927522</v>
      </c>
      <c r="W225" s="99">
        <f t="shared" si="24"/>
        <v>6.1477962</v>
      </c>
    </row>
    <row r="226" ht="22" customHeight="1" spans="1:23">
      <c r="A226" s="108">
        <v>222</v>
      </c>
      <c r="B226" s="148" t="s">
        <v>565</v>
      </c>
      <c r="C226" s="115" t="s">
        <v>564</v>
      </c>
      <c r="D226" s="115" t="s">
        <v>521</v>
      </c>
      <c r="E226" s="152" t="s">
        <v>468</v>
      </c>
      <c r="F226" s="137">
        <v>276</v>
      </c>
      <c r="G226" s="110"/>
      <c r="H226" s="110"/>
      <c r="I226" s="111">
        <v>7.68176955</v>
      </c>
      <c r="J226" s="111"/>
      <c r="K226" s="111">
        <v>5</v>
      </c>
      <c r="L226" s="111">
        <f t="shared" si="19"/>
        <v>2120.1683958</v>
      </c>
      <c r="M226" s="111">
        <f t="shared" si="20"/>
        <v>0</v>
      </c>
      <c r="N226" s="111">
        <f t="shared" si="21"/>
        <v>1380</v>
      </c>
      <c r="O226" s="149"/>
      <c r="P226" s="150" t="s">
        <v>79</v>
      </c>
      <c r="Q226" s="99">
        <f t="shared" si="22"/>
        <v>8.0658580275</v>
      </c>
      <c r="U226" s="111">
        <v>7.315971</v>
      </c>
      <c r="V226" s="99">
        <f t="shared" si="23"/>
        <v>0.36579855</v>
      </c>
      <c r="W226" s="99">
        <f t="shared" si="24"/>
        <v>7.68176955</v>
      </c>
    </row>
    <row r="227" ht="22" customHeight="1" spans="1:23">
      <c r="A227" s="108">
        <v>223</v>
      </c>
      <c r="B227" s="148" t="s">
        <v>566</v>
      </c>
      <c r="C227" s="115" t="s">
        <v>564</v>
      </c>
      <c r="D227" s="115" t="s">
        <v>567</v>
      </c>
      <c r="E227" s="152" t="s">
        <v>468</v>
      </c>
      <c r="F227" s="137">
        <v>265</v>
      </c>
      <c r="G227" s="110"/>
      <c r="H227" s="110"/>
      <c r="I227" s="111">
        <v>9.2633541</v>
      </c>
      <c r="J227" s="111"/>
      <c r="K227" s="111">
        <v>6</v>
      </c>
      <c r="L227" s="111">
        <f t="shared" si="19"/>
        <v>2454.7888365</v>
      </c>
      <c r="M227" s="111">
        <f t="shared" si="20"/>
        <v>0</v>
      </c>
      <c r="N227" s="111">
        <f t="shared" si="21"/>
        <v>1590</v>
      </c>
      <c r="O227" s="149"/>
      <c r="P227" s="150" t="s">
        <v>79</v>
      </c>
      <c r="Q227" s="99">
        <f t="shared" si="22"/>
        <v>9.726521805</v>
      </c>
      <c r="U227" s="111">
        <v>8.822242</v>
      </c>
      <c r="V227" s="99">
        <f t="shared" si="23"/>
        <v>0.441112100000002</v>
      </c>
      <c r="W227" s="99">
        <f t="shared" si="24"/>
        <v>9.2633541</v>
      </c>
    </row>
    <row r="228" ht="22" customHeight="1" spans="1:23">
      <c r="A228" s="108">
        <v>224</v>
      </c>
      <c r="B228" s="148" t="s">
        <v>568</v>
      </c>
      <c r="C228" s="115" t="s">
        <v>564</v>
      </c>
      <c r="D228" s="115" t="s">
        <v>569</v>
      </c>
      <c r="E228" s="152" t="s">
        <v>468</v>
      </c>
      <c r="F228" s="137">
        <v>37</v>
      </c>
      <c r="G228" s="110"/>
      <c r="H228" s="110"/>
      <c r="I228" s="111">
        <v>6.42899985</v>
      </c>
      <c r="J228" s="111"/>
      <c r="K228" s="111">
        <v>4</v>
      </c>
      <c r="L228" s="111">
        <f t="shared" si="19"/>
        <v>237.87299445</v>
      </c>
      <c r="M228" s="111">
        <f t="shared" si="20"/>
        <v>0</v>
      </c>
      <c r="N228" s="111">
        <f t="shared" si="21"/>
        <v>148</v>
      </c>
      <c r="O228" s="149"/>
      <c r="P228" s="150" t="s">
        <v>79</v>
      </c>
      <c r="Q228" s="99">
        <f t="shared" si="22"/>
        <v>6.7504498425</v>
      </c>
      <c r="U228" s="111">
        <v>6.122857</v>
      </c>
      <c r="V228" s="99">
        <f t="shared" si="23"/>
        <v>0.306142850000001</v>
      </c>
      <c r="W228" s="99">
        <f t="shared" si="24"/>
        <v>6.42899985</v>
      </c>
    </row>
    <row r="229" ht="22" customHeight="1" spans="1:23">
      <c r="A229" s="108">
        <v>225</v>
      </c>
      <c r="B229" s="148" t="s">
        <v>570</v>
      </c>
      <c r="C229" s="115" t="s">
        <v>564</v>
      </c>
      <c r="D229" s="115" t="s">
        <v>546</v>
      </c>
      <c r="E229" s="152" t="s">
        <v>468</v>
      </c>
      <c r="F229" s="137">
        <v>350</v>
      </c>
      <c r="G229" s="110"/>
      <c r="H229" s="110"/>
      <c r="I229" s="111">
        <v>6.07608183</v>
      </c>
      <c r="J229" s="111"/>
      <c r="K229" s="111">
        <v>4</v>
      </c>
      <c r="L229" s="111">
        <f t="shared" si="19"/>
        <v>2126.6286405</v>
      </c>
      <c r="M229" s="111">
        <f t="shared" si="20"/>
        <v>0</v>
      </c>
      <c r="N229" s="111">
        <f t="shared" si="21"/>
        <v>1400</v>
      </c>
      <c r="O229" s="149"/>
      <c r="P229" s="150" t="s">
        <v>79</v>
      </c>
      <c r="Q229" s="99">
        <f t="shared" si="22"/>
        <v>6.3798859215</v>
      </c>
      <c r="U229" s="111">
        <v>5.7867446</v>
      </c>
      <c r="V229" s="99">
        <f t="shared" si="23"/>
        <v>0.28933723</v>
      </c>
      <c r="W229" s="99">
        <f t="shared" si="24"/>
        <v>6.07608183</v>
      </c>
    </row>
    <row r="230" ht="22" customHeight="1" spans="1:23">
      <c r="A230" s="108">
        <v>226</v>
      </c>
      <c r="B230" s="148" t="s">
        <v>571</v>
      </c>
      <c r="C230" s="115" t="s">
        <v>564</v>
      </c>
      <c r="D230" s="115" t="s">
        <v>548</v>
      </c>
      <c r="E230" s="152" t="s">
        <v>468</v>
      </c>
      <c r="F230" s="137">
        <v>294</v>
      </c>
      <c r="G230" s="110"/>
      <c r="H230" s="110"/>
      <c r="I230" s="111">
        <v>7.5939864</v>
      </c>
      <c r="J230" s="111"/>
      <c r="K230" s="111">
        <v>5</v>
      </c>
      <c r="L230" s="111">
        <f t="shared" si="19"/>
        <v>2232.6320016</v>
      </c>
      <c r="M230" s="111">
        <f t="shared" si="20"/>
        <v>0</v>
      </c>
      <c r="N230" s="111">
        <f t="shared" si="21"/>
        <v>1470</v>
      </c>
      <c r="O230" s="149"/>
      <c r="P230" s="150" t="s">
        <v>79</v>
      </c>
      <c r="Q230" s="99">
        <f t="shared" si="22"/>
        <v>7.97368572</v>
      </c>
      <c r="U230" s="111">
        <v>7.232368</v>
      </c>
      <c r="V230" s="99">
        <f t="shared" si="23"/>
        <v>0.3616184</v>
      </c>
      <c r="W230" s="99">
        <f t="shared" si="24"/>
        <v>7.5939864</v>
      </c>
    </row>
    <row r="231" ht="22" customHeight="1" spans="1:23">
      <c r="A231" s="108">
        <v>227</v>
      </c>
      <c r="B231" s="148" t="s">
        <v>572</v>
      </c>
      <c r="C231" s="115" t="s">
        <v>564</v>
      </c>
      <c r="D231" s="115" t="s">
        <v>550</v>
      </c>
      <c r="E231" s="152" t="s">
        <v>468</v>
      </c>
      <c r="F231" s="137">
        <v>147</v>
      </c>
      <c r="G231" s="110"/>
      <c r="H231" s="110"/>
      <c r="I231" s="111">
        <v>9.1383747</v>
      </c>
      <c r="J231" s="111"/>
      <c r="K231" s="111">
        <v>6</v>
      </c>
      <c r="L231" s="111">
        <f t="shared" si="19"/>
        <v>1343.3410809</v>
      </c>
      <c r="M231" s="111">
        <f t="shared" si="20"/>
        <v>0</v>
      </c>
      <c r="N231" s="111">
        <f t="shared" si="21"/>
        <v>882</v>
      </c>
      <c r="O231" s="149"/>
      <c r="P231" s="150" t="s">
        <v>79</v>
      </c>
      <c r="Q231" s="99">
        <f t="shared" si="22"/>
        <v>9.595293435</v>
      </c>
      <c r="U231" s="111">
        <v>8.703214</v>
      </c>
      <c r="V231" s="99">
        <f t="shared" si="23"/>
        <v>0.435160700000001</v>
      </c>
      <c r="W231" s="99">
        <f t="shared" si="24"/>
        <v>9.1383747</v>
      </c>
    </row>
    <row r="232" ht="22" customHeight="1" spans="1:23">
      <c r="A232" s="108">
        <v>228</v>
      </c>
      <c r="B232" s="148" t="s">
        <v>573</v>
      </c>
      <c r="C232" s="115" t="s">
        <v>564</v>
      </c>
      <c r="D232" s="115" t="s">
        <v>554</v>
      </c>
      <c r="E232" s="152" t="s">
        <v>468</v>
      </c>
      <c r="F232" s="137">
        <v>202</v>
      </c>
      <c r="G232" s="110"/>
      <c r="H232" s="110"/>
      <c r="I232" s="111">
        <v>9.28567185</v>
      </c>
      <c r="J232" s="111"/>
      <c r="K232" s="111">
        <v>6</v>
      </c>
      <c r="L232" s="111">
        <f t="shared" si="19"/>
        <v>1875.7057137</v>
      </c>
      <c r="M232" s="111">
        <f t="shared" si="20"/>
        <v>0</v>
      </c>
      <c r="N232" s="111">
        <f t="shared" si="21"/>
        <v>1212</v>
      </c>
      <c r="O232" s="149"/>
      <c r="P232" s="150" t="s">
        <v>79</v>
      </c>
      <c r="Q232" s="99">
        <f t="shared" si="22"/>
        <v>9.7499554425</v>
      </c>
      <c r="U232" s="111">
        <v>8.843497</v>
      </c>
      <c r="V232" s="99">
        <f t="shared" si="23"/>
        <v>0.442174850000001</v>
      </c>
      <c r="W232" s="99">
        <f t="shared" si="24"/>
        <v>9.28567185</v>
      </c>
    </row>
    <row r="233" ht="22" customHeight="1" spans="1:23">
      <c r="A233" s="108">
        <v>229</v>
      </c>
      <c r="B233" s="148" t="s">
        <v>574</v>
      </c>
      <c r="C233" s="115" t="s">
        <v>564</v>
      </c>
      <c r="D233" s="115" t="s">
        <v>556</v>
      </c>
      <c r="E233" s="152" t="s">
        <v>468</v>
      </c>
      <c r="F233" s="137">
        <v>745</v>
      </c>
      <c r="G233" s="110"/>
      <c r="H233" s="110"/>
      <c r="I233" s="111">
        <v>9.34221015</v>
      </c>
      <c r="J233" s="111"/>
      <c r="K233" s="111">
        <v>6</v>
      </c>
      <c r="L233" s="111">
        <f t="shared" si="19"/>
        <v>6959.94656175</v>
      </c>
      <c r="M233" s="111">
        <f t="shared" si="20"/>
        <v>0</v>
      </c>
      <c r="N233" s="111">
        <f t="shared" si="21"/>
        <v>4470</v>
      </c>
      <c r="O233" s="149"/>
      <c r="P233" s="150" t="s">
        <v>79</v>
      </c>
      <c r="Q233" s="99">
        <f t="shared" si="22"/>
        <v>9.8093206575</v>
      </c>
      <c r="U233" s="111">
        <v>8.897343</v>
      </c>
      <c r="V233" s="99">
        <f t="shared" si="23"/>
        <v>0.44486715</v>
      </c>
      <c r="W233" s="99">
        <f t="shared" si="24"/>
        <v>9.34221015</v>
      </c>
    </row>
    <row r="234" ht="22" customHeight="1" spans="1:23">
      <c r="A234" s="108">
        <v>230</v>
      </c>
      <c r="B234" s="148" t="s">
        <v>575</v>
      </c>
      <c r="C234" s="115" t="s">
        <v>564</v>
      </c>
      <c r="D234" s="115" t="s">
        <v>558</v>
      </c>
      <c r="E234" s="152" t="s">
        <v>468</v>
      </c>
      <c r="F234" s="137">
        <v>239</v>
      </c>
      <c r="G234" s="110"/>
      <c r="H234" s="110"/>
      <c r="I234" s="111">
        <v>9.4002363</v>
      </c>
      <c r="J234" s="111"/>
      <c r="K234" s="111">
        <v>6</v>
      </c>
      <c r="L234" s="111">
        <f t="shared" si="19"/>
        <v>2246.6564757</v>
      </c>
      <c r="M234" s="111">
        <f t="shared" si="20"/>
        <v>0</v>
      </c>
      <c r="N234" s="111">
        <f t="shared" si="21"/>
        <v>1434</v>
      </c>
      <c r="O234" s="149"/>
      <c r="P234" s="150" t="s">
        <v>79</v>
      </c>
      <c r="Q234" s="99">
        <f t="shared" si="22"/>
        <v>9.870248115</v>
      </c>
      <c r="U234" s="111">
        <v>8.952606</v>
      </c>
      <c r="V234" s="99">
        <f t="shared" si="23"/>
        <v>0.4476303</v>
      </c>
      <c r="W234" s="99">
        <f t="shared" si="24"/>
        <v>9.4002363</v>
      </c>
    </row>
    <row r="235" ht="22" customHeight="1" spans="1:23">
      <c r="A235" s="108">
        <v>231</v>
      </c>
      <c r="B235" s="148" t="s">
        <v>576</v>
      </c>
      <c r="C235" s="115" t="s">
        <v>564</v>
      </c>
      <c r="D235" s="115" t="s">
        <v>560</v>
      </c>
      <c r="E235" s="152" t="s">
        <v>468</v>
      </c>
      <c r="F235" s="137">
        <v>129</v>
      </c>
      <c r="G235" s="110"/>
      <c r="H235" s="110"/>
      <c r="I235" s="111">
        <v>9.48504375</v>
      </c>
      <c r="J235" s="111"/>
      <c r="K235" s="111">
        <v>6</v>
      </c>
      <c r="L235" s="111">
        <f t="shared" si="19"/>
        <v>1223.57064375</v>
      </c>
      <c r="M235" s="111">
        <f t="shared" si="20"/>
        <v>0</v>
      </c>
      <c r="N235" s="111">
        <f t="shared" si="21"/>
        <v>774</v>
      </c>
      <c r="O235" s="149"/>
      <c r="P235" s="150" t="s">
        <v>79</v>
      </c>
      <c r="Q235" s="99">
        <f t="shared" si="22"/>
        <v>9.9592959375</v>
      </c>
      <c r="U235" s="111">
        <v>9.033375</v>
      </c>
      <c r="V235" s="99">
        <f t="shared" si="23"/>
        <v>0.451668750000001</v>
      </c>
      <c r="W235" s="99">
        <f t="shared" si="24"/>
        <v>9.48504375</v>
      </c>
    </row>
    <row r="236" ht="22" customHeight="1" spans="1:23">
      <c r="A236" s="108">
        <v>232</v>
      </c>
      <c r="B236" s="148" t="s">
        <v>577</v>
      </c>
      <c r="C236" s="115" t="s">
        <v>564</v>
      </c>
      <c r="D236" s="115" t="s">
        <v>562</v>
      </c>
      <c r="E236" s="152" t="s">
        <v>468</v>
      </c>
      <c r="F236" s="137">
        <v>261</v>
      </c>
      <c r="G236" s="110"/>
      <c r="H236" s="110"/>
      <c r="I236" s="111">
        <v>9.63382875</v>
      </c>
      <c r="J236" s="111"/>
      <c r="K236" s="111">
        <v>6</v>
      </c>
      <c r="L236" s="111">
        <f t="shared" si="19"/>
        <v>2514.42930375</v>
      </c>
      <c r="M236" s="111">
        <f t="shared" si="20"/>
        <v>0</v>
      </c>
      <c r="N236" s="111">
        <f t="shared" si="21"/>
        <v>1566</v>
      </c>
      <c r="O236" s="149"/>
      <c r="P236" s="150" t="s">
        <v>79</v>
      </c>
      <c r="Q236" s="99">
        <f t="shared" si="22"/>
        <v>10.1155201875</v>
      </c>
      <c r="U236" s="111">
        <v>9.175075</v>
      </c>
      <c r="V236" s="99">
        <f t="shared" si="23"/>
        <v>0.45875375</v>
      </c>
      <c r="W236" s="99">
        <f t="shared" si="24"/>
        <v>9.63382875</v>
      </c>
    </row>
    <row r="237" ht="22" customHeight="1" spans="1:23">
      <c r="A237" s="108">
        <v>233</v>
      </c>
      <c r="B237" s="148" t="s">
        <v>578</v>
      </c>
      <c r="C237" s="115" t="s">
        <v>579</v>
      </c>
      <c r="D237" s="115" t="s">
        <v>552</v>
      </c>
      <c r="E237" s="152" t="s">
        <v>468</v>
      </c>
      <c r="F237" s="137">
        <v>322</v>
      </c>
      <c r="G237" s="110"/>
      <c r="H237" s="110"/>
      <c r="I237" s="111">
        <v>9.37494285</v>
      </c>
      <c r="J237" s="111"/>
      <c r="K237" s="111">
        <v>6</v>
      </c>
      <c r="L237" s="111">
        <f t="shared" si="19"/>
        <v>3018.7315977</v>
      </c>
      <c r="M237" s="111">
        <f t="shared" si="20"/>
        <v>0</v>
      </c>
      <c r="N237" s="111">
        <f t="shared" si="21"/>
        <v>1932</v>
      </c>
      <c r="O237" s="149"/>
      <c r="P237" s="150" t="s">
        <v>79</v>
      </c>
      <c r="Q237" s="99">
        <f t="shared" si="22"/>
        <v>9.8436899925</v>
      </c>
      <c r="U237" s="111">
        <v>8.928517</v>
      </c>
      <c r="V237" s="99">
        <f t="shared" si="23"/>
        <v>0.446425850000001</v>
      </c>
      <c r="W237" s="99">
        <f t="shared" si="24"/>
        <v>9.37494285</v>
      </c>
    </row>
    <row r="238" ht="22" customHeight="1" spans="1:23">
      <c r="A238" s="108">
        <v>234</v>
      </c>
      <c r="B238" s="148" t="s">
        <v>580</v>
      </c>
      <c r="C238" s="115" t="s">
        <v>579</v>
      </c>
      <c r="D238" s="115" t="s">
        <v>554</v>
      </c>
      <c r="E238" s="152" t="s">
        <v>468</v>
      </c>
      <c r="F238" s="137">
        <v>166</v>
      </c>
      <c r="G238" s="110"/>
      <c r="H238" s="110"/>
      <c r="I238" s="111">
        <v>7.9480947</v>
      </c>
      <c r="J238" s="111"/>
      <c r="K238" s="111">
        <v>5</v>
      </c>
      <c r="L238" s="111">
        <f t="shared" si="19"/>
        <v>1319.3837202</v>
      </c>
      <c r="M238" s="111">
        <f t="shared" si="20"/>
        <v>0</v>
      </c>
      <c r="N238" s="111">
        <f t="shared" si="21"/>
        <v>830</v>
      </c>
      <c r="O238" s="149"/>
      <c r="P238" s="150" t="s">
        <v>79</v>
      </c>
      <c r="Q238" s="99">
        <f t="shared" si="22"/>
        <v>8.345499435</v>
      </c>
      <c r="U238" s="111">
        <v>7.569614</v>
      </c>
      <c r="V238" s="99">
        <f t="shared" si="23"/>
        <v>0.378480700000001</v>
      </c>
      <c r="W238" s="99">
        <f t="shared" si="24"/>
        <v>7.9480947</v>
      </c>
    </row>
    <row r="239" ht="22" customHeight="1" spans="1:23">
      <c r="A239" s="108">
        <v>235</v>
      </c>
      <c r="B239" s="148" t="s">
        <v>581</v>
      </c>
      <c r="C239" s="115" t="s">
        <v>579</v>
      </c>
      <c r="D239" s="115" t="s">
        <v>562</v>
      </c>
      <c r="E239" s="152" t="s">
        <v>468</v>
      </c>
      <c r="F239" s="137">
        <v>322</v>
      </c>
      <c r="G239" s="110"/>
      <c r="H239" s="110"/>
      <c r="I239" s="111">
        <v>8.3587413</v>
      </c>
      <c r="J239" s="111"/>
      <c r="K239" s="111">
        <v>5</v>
      </c>
      <c r="L239" s="111">
        <f t="shared" si="19"/>
        <v>2691.5146986</v>
      </c>
      <c r="M239" s="111">
        <f t="shared" si="20"/>
        <v>0</v>
      </c>
      <c r="N239" s="111">
        <f t="shared" si="21"/>
        <v>1610</v>
      </c>
      <c r="O239" s="149"/>
      <c r="P239" s="150" t="s">
        <v>79</v>
      </c>
      <c r="Q239" s="99">
        <f t="shared" si="22"/>
        <v>8.776678365</v>
      </c>
      <c r="U239" s="111">
        <v>7.960706</v>
      </c>
      <c r="V239" s="99">
        <f t="shared" si="23"/>
        <v>0.3980353</v>
      </c>
      <c r="W239" s="99">
        <f t="shared" si="24"/>
        <v>8.3587413</v>
      </c>
    </row>
    <row r="240" ht="22" customHeight="1" spans="1:23">
      <c r="A240" s="108">
        <v>236</v>
      </c>
      <c r="B240" s="148" t="s">
        <v>582</v>
      </c>
      <c r="C240" s="115" t="s">
        <v>579</v>
      </c>
      <c r="D240" s="115" t="s">
        <v>548</v>
      </c>
      <c r="E240" s="152" t="s">
        <v>468</v>
      </c>
      <c r="F240" s="137">
        <v>506</v>
      </c>
      <c r="G240" s="110"/>
      <c r="H240" s="110"/>
      <c r="I240" s="111">
        <v>6.18201675</v>
      </c>
      <c r="J240" s="111"/>
      <c r="K240" s="111">
        <v>4</v>
      </c>
      <c r="L240" s="111">
        <f t="shared" si="19"/>
        <v>3128.1004755</v>
      </c>
      <c r="M240" s="111">
        <f t="shared" si="20"/>
        <v>0</v>
      </c>
      <c r="N240" s="111">
        <f t="shared" si="21"/>
        <v>2024</v>
      </c>
      <c r="O240" s="149"/>
      <c r="P240" s="150" t="s">
        <v>79</v>
      </c>
      <c r="Q240" s="99">
        <f t="shared" si="22"/>
        <v>6.4911175875</v>
      </c>
      <c r="U240" s="111">
        <v>5.887635</v>
      </c>
      <c r="V240" s="99">
        <f t="shared" si="23"/>
        <v>0.294381749999999</v>
      </c>
      <c r="W240" s="99">
        <f t="shared" si="24"/>
        <v>6.18201675</v>
      </c>
    </row>
    <row r="241" ht="22" customHeight="1" spans="1:23">
      <c r="A241" s="108">
        <v>237</v>
      </c>
      <c r="B241" s="148" t="s">
        <v>583</v>
      </c>
      <c r="C241" s="115" t="s">
        <v>579</v>
      </c>
      <c r="D241" s="115" t="s">
        <v>550</v>
      </c>
      <c r="E241" s="152" t="s">
        <v>468</v>
      </c>
      <c r="F241" s="137">
        <v>506</v>
      </c>
      <c r="G241" s="110"/>
      <c r="H241" s="110"/>
      <c r="I241" s="111">
        <v>6.24748215</v>
      </c>
      <c r="J241" s="111"/>
      <c r="K241" s="111">
        <v>4</v>
      </c>
      <c r="L241" s="111">
        <f t="shared" si="19"/>
        <v>3161.2259679</v>
      </c>
      <c r="M241" s="111">
        <f t="shared" si="20"/>
        <v>0</v>
      </c>
      <c r="N241" s="111">
        <f t="shared" si="21"/>
        <v>2024</v>
      </c>
      <c r="O241" s="149"/>
      <c r="P241" s="150" t="s">
        <v>79</v>
      </c>
      <c r="Q241" s="99">
        <f t="shared" ref="Q241:Q246" si="25">I241*1.05</f>
        <v>6.5598562575</v>
      </c>
      <c r="U241" s="111">
        <v>5.949983</v>
      </c>
      <c r="V241" s="99">
        <f t="shared" si="23"/>
        <v>0.29749915</v>
      </c>
      <c r="W241" s="99">
        <f t="shared" si="24"/>
        <v>6.24748215</v>
      </c>
    </row>
    <row r="242" ht="22" customHeight="1" spans="1:23">
      <c r="A242" s="108">
        <v>238</v>
      </c>
      <c r="B242" s="148" t="s">
        <v>584</v>
      </c>
      <c r="C242" s="115" t="s">
        <v>585</v>
      </c>
      <c r="D242" s="115" t="s">
        <v>586</v>
      </c>
      <c r="E242" s="152" t="s">
        <v>468</v>
      </c>
      <c r="F242" s="137">
        <v>276</v>
      </c>
      <c r="G242" s="110"/>
      <c r="H242" s="110"/>
      <c r="I242" s="111">
        <v>6.058971555</v>
      </c>
      <c r="J242" s="111"/>
      <c r="K242" s="111">
        <v>4</v>
      </c>
      <c r="L242" s="111">
        <f t="shared" si="19"/>
        <v>1672.27614918</v>
      </c>
      <c r="M242" s="111">
        <f t="shared" si="20"/>
        <v>0</v>
      </c>
      <c r="N242" s="111">
        <f t="shared" si="21"/>
        <v>1104</v>
      </c>
      <c r="O242" s="149"/>
      <c r="P242" s="150" t="s">
        <v>79</v>
      </c>
      <c r="Q242" s="99">
        <f t="shared" si="25"/>
        <v>6.36192013275</v>
      </c>
      <c r="U242" s="111">
        <v>5.7704491</v>
      </c>
      <c r="V242" s="99">
        <f t="shared" si="23"/>
        <v>0.288522455</v>
      </c>
      <c r="W242" s="99">
        <f t="shared" si="24"/>
        <v>6.058971555</v>
      </c>
    </row>
    <row r="243" ht="22" customHeight="1" spans="1:23">
      <c r="A243" s="108">
        <v>239</v>
      </c>
      <c r="B243" s="148" t="s">
        <v>587</v>
      </c>
      <c r="C243" s="115" t="s">
        <v>588</v>
      </c>
      <c r="D243" s="115"/>
      <c r="E243" s="152" t="s">
        <v>468</v>
      </c>
      <c r="F243" s="137">
        <v>883</v>
      </c>
      <c r="G243" s="110"/>
      <c r="H243" s="110"/>
      <c r="I243" s="111">
        <v>6.047961465</v>
      </c>
      <c r="J243" s="111"/>
      <c r="K243" s="111">
        <v>4</v>
      </c>
      <c r="L243" s="111">
        <f t="shared" si="19"/>
        <v>5340.349973595</v>
      </c>
      <c r="M243" s="111">
        <f t="shared" si="20"/>
        <v>0</v>
      </c>
      <c r="N243" s="111">
        <f t="shared" si="21"/>
        <v>3532</v>
      </c>
      <c r="O243" s="149"/>
      <c r="P243" s="150" t="s">
        <v>79</v>
      </c>
      <c r="Q243" s="99">
        <f t="shared" si="25"/>
        <v>6.35035953825</v>
      </c>
      <c r="U243" s="111">
        <v>5.7599633</v>
      </c>
      <c r="V243" s="99">
        <f t="shared" si="23"/>
        <v>0.287998165</v>
      </c>
      <c r="W243" s="99">
        <f t="shared" si="24"/>
        <v>6.047961465</v>
      </c>
    </row>
    <row r="244" s="100" customFormat="1" ht="60" customHeight="1" spans="1:23">
      <c r="A244" s="154">
        <v>240</v>
      </c>
      <c r="B244" s="171" t="s">
        <v>589</v>
      </c>
      <c r="C244" s="156" t="s">
        <v>590</v>
      </c>
      <c r="D244" s="156" t="s">
        <v>350</v>
      </c>
      <c r="E244" s="157" t="s">
        <v>351</v>
      </c>
      <c r="F244" s="172">
        <v>17</v>
      </c>
      <c r="G244" s="159"/>
      <c r="H244" s="159"/>
      <c r="I244" s="130">
        <v>11600</v>
      </c>
      <c r="J244" s="130">
        <v>6500</v>
      </c>
      <c r="K244" s="130">
        <v>4000</v>
      </c>
      <c r="L244" s="130">
        <f t="shared" si="19"/>
        <v>197200</v>
      </c>
      <c r="M244" s="130">
        <f t="shared" si="20"/>
        <v>110500</v>
      </c>
      <c r="N244" s="130">
        <f t="shared" si="21"/>
        <v>68000</v>
      </c>
      <c r="O244" s="160"/>
      <c r="P244" s="161" t="s">
        <v>591</v>
      </c>
      <c r="Q244" s="100">
        <v>9000</v>
      </c>
      <c r="T244" s="100">
        <v>11600</v>
      </c>
      <c r="U244" s="111">
        <v>13053.6663716814</v>
      </c>
      <c r="V244" s="99">
        <f t="shared" si="23"/>
        <v>-1453.6663716814</v>
      </c>
      <c r="W244" s="99">
        <f t="shared" si="24"/>
        <v>5100</v>
      </c>
    </row>
    <row r="245" ht="54" customHeight="1" spans="1:23">
      <c r="A245" s="108">
        <v>241</v>
      </c>
      <c r="B245" s="148" t="s">
        <v>592</v>
      </c>
      <c r="C245" s="115" t="s">
        <v>593</v>
      </c>
      <c r="D245" s="115" t="s">
        <v>350</v>
      </c>
      <c r="E245" s="137" t="s">
        <v>351</v>
      </c>
      <c r="F245" s="173">
        <v>9</v>
      </c>
      <c r="G245" s="110"/>
      <c r="H245" s="110"/>
      <c r="I245" s="124">
        <v>7557.34699115044</v>
      </c>
      <c r="J245" s="124">
        <v>3510</v>
      </c>
      <c r="K245" s="111">
        <v>2150</v>
      </c>
      <c r="L245" s="111">
        <f t="shared" si="19"/>
        <v>68016.122920354</v>
      </c>
      <c r="M245" s="111">
        <f t="shared" si="20"/>
        <v>31590</v>
      </c>
      <c r="N245" s="111">
        <f t="shared" si="21"/>
        <v>19350</v>
      </c>
      <c r="O245" s="149"/>
      <c r="P245" s="116" t="s">
        <v>594</v>
      </c>
      <c r="U245" s="111">
        <v>7857.34699115044</v>
      </c>
      <c r="V245" s="99">
        <f t="shared" si="23"/>
        <v>-300</v>
      </c>
      <c r="W245" s="99">
        <f t="shared" si="24"/>
        <v>4047.34699115044</v>
      </c>
    </row>
    <row r="246" ht="63" customHeight="1" spans="1:23">
      <c r="A246" s="108">
        <v>242</v>
      </c>
      <c r="B246" s="148" t="s">
        <v>595</v>
      </c>
      <c r="C246" s="115" t="s">
        <v>375</v>
      </c>
      <c r="D246" s="115" t="s">
        <v>350</v>
      </c>
      <c r="E246" s="137" t="s">
        <v>351</v>
      </c>
      <c r="F246" s="137">
        <v>8.7</v>
      </c>
      <c r="G246" s="110"/>
      <c r="H246" s="110"/>
      <c r="I246" s="111">
        <v>9370.60641039823</v>
      </c>
      <c r="J246" s="111">
        <v>4700</v>
      </c>
      <c r="K246" s="111">
        <v>2600</v>
      </c>
      <c r="L246" s="111">
        <f t="shared" si="19"/>
        <v>81524.2757704646</v>
      </c>
      <c r="M246" s="111">
        <f t="shared" si="20"/>
        <v>40890</v>
      </c>
      <c r="N246" s="111">
        <f t="shared" si="21"/>
        <v>22620</v>
      </c>
      <c r="O246" s="149"/>
      <c r="P246" s="116" t="s">
        <v>596</v>
      </c>
      <c r="Q246" s="99">
        <f t="shared" si="25"/>
        <v>9839.13673091814</v>
      </c>
      <c r="U246" s="111">
        <v>8924.38705752212</v>
      </c>
      <c r="V246" s="99">
        <f t="shared" si="23"/>
        <v>446.219352876109</v>
      </c>
      <c r="W246" s="99">
        <f t="shared" si="24"/>
        <v>4670.60641039823</v>
      </c>
    </row>
    <row r="247" s="98" customFormat="1" ht="22" customHeight="1" spans="1:23">
      <c r="A247" s="119">
        <v>243</v>
      </c>
      <c r="B247" s="174" t="s">
        <v>597</v>
      </c>
      <c r="C247" s="121" t="s">
        <v>598</v>
      </c>
      <c r="D247" s="121" t="s">
        <v>599</v>
      </c>
      <c r="E247" s="175" t="s">
        <v>468</v>
      </c>
      <c r="F247" s="122">
        <v>166</v>
      </c>
      <c r="G247" s="123"/>
      <c r="H247" s="123"/>
      <c r="I247" s="124">
        <v>21.95805</v>
      </c>
      <c r="J247" s="124">
        <v>2</v>
      </c>
      <c r="K247" s="124">
        <v>15</v>
      </c>
      <c r="L247" s="124">
        <f t="shared" si="19"/>
        <v>3645.0363</v>
      </c>
      <c r="M247" s="124">
        <f t="shared" si="20"/>
        <v>332</v>
      </c>
      <c r="N247" s="124">
        <f t="shared" si="21"/>
        <v>2490</v>
      </c>
      <c r="O247" s="162"/>
      <c r="P247" s="163" t="s">
        <v>79</v>
      </c>
      <c r="Q247" s="98" t="s">
        <v>600</v>
      </c>
      <c r="U247" s="111">
        <v>21.95805</v>
      </c>
      <c r="V247" s="99">
        <f t="shared" si="23"/>
        <v>0</v>
      </c>
      <c r="W247" s="99">
        <f t="shared" si="24"/>
        <v>19.95805</v>
      </c>
    </row>
    <row r="248" ht="31" customHeight="1" spans="1:23">
      <c r="A248" s="108">
        <v>244</v>
      </c>
      <c r="B248" s="148" t="s">
        <v>601</v>
      </c>
      <c r="C248" s="115" t="s">
        <v>602</v>
      </c>
      <c r="D248" s="115" t="s">
        <v>603</v>
      </c>
      <c r="E248" s="152" t="s">
        <v>468</v>
      </c>
      <c r="F248" s="137">
        <v>175</v>
      </c>
      <c r="G248" s="110"/>
      <c r="H248" s="110"/>
      <c r="I248" s="111">
        <v>18.9392467699115</v>
      </c>
      <c r="J248" s="111">
        <v>9</v>
      </c>
      <c r="K248" s="111">
        <v>6</v>
      </c>
      <c r="L248" s="111">
        <f t="shared" si="19"/>
        <v>3314.36818473451</v>
      </c>
      <c r="M248" s="111">
        <f t="shared" si="20"/>
        <v>1575</v>
      </c>
      <c r="N248" s="111">
        <f t="shared" si="21"/>
        <v>1050</v>
      </c>
      <c r="O248" s="149"/>
      <c r="P248" s="116" t="s">
        <v>604</v>
      </c>
      <c r="Q248" s="99">
        <f>I248*1.05</f>
        <v>19.8862091084071</v>
      </c>
      <c r="U248" s="111">
        <v>18.0373778761062</v>
      </c>
      <c r="V248" s="99">
        <f t="shared" si="23"/>
        <v>0.9018688938053</v>
      </c>
      <c r="W248" s="99">
        <f t="shared" si="24"/>
        <v>9.9392467699115</v>
      </c>
    </row>
    <row r="249" ht="22" customHeight="1" spans="1:23">
      <c r="A249" s="108">
        <v>245</v>
      </c>
      <c r="B249" s="148" t="s">
        <v>605</v>
      </c>
      <c r="C249" s="115" t="s">
        <v>602</v>
      </c>
      <c r="D249" s="115" t="s">
        <v>338</v>
      </c>
      <c r="E249" s="152" t="s">
        <v>468</v>
      </c>
      <c r="F249" s="137">
        <v>147</v>
      </c>
      <c r="G249" s="110"/>
      <c r="H249" s="110"/>
      <c r="I249" s="111">
        <v>18.9392467699115</v>
      </c>
      <c r="J249" s="111">
        <v>9</v>
      </c>
      <c r="K249" s="111">
        <v>6</v>
      </c>
      <c r="L249" s="111">
        <f t="shared" si="19"/>
        <v>2784.06927517699</v>
      </c>
      <c r="M249" s="111">
        <f t="shared" si="20"/>
        <v>1323</v>
      </c>
      <c r="N249" s="111">
        <f t="shared" si="21"/>
        <v>882</v>
      </c>
      <c r="O249" s="149"/>
      <c r="P249" s="150" t="s">
        <v>79</v>
      </c>
      <c r="Q249" s="99">
        <f t="shared" ref="Q249:Q256" si="26">I249*1.05</f>
        <v>19.8862091084071</v>
      </c>
      <c r="U249" s="111">
        <v>18.0373778761062</v>
      </c>
      <c r="V249" s="99">
        <f t="shared" si="23"/>
        <v>0.9018688938053</v>
      </c>
      <c r="W249" s="99">
        <f t="shared" si="24"/>
        <v>9.9392467699115</v>
      </c>
    </row>
    <row r="250" ht="22" customHeight="1" spans="1:23">
      <c r="A250" s="108">
        <v>246</v>
      </c>
      <c r="B250" s="148" t="s">
        <v>606</v>
      </c>
      <c r="C250" s="115" t="s">
        <v>602</v>
      </c>
      <c r="D250" s="115" t="s">
        <v>607</v>
      </c>
      <c r="E250" s="152" t="s">
        <v>468</v>
      </c>
      <c r="F250" s="137">
        <v>18</v>
      </c>
      <c r="G250" s="110"/>
      <c r="H250" s="110"/>
      <c r="I250" s="111">
        <v>26.1404812831858</v>
      </c>
      <c r="J250" s="111">
        <v>15</v>
      </c>
      <c r="K250" s="111">
        <v>6</v>
      </c>
      <c r="L250" s="111">
        <f t="shared" si="19"/>
        <v>470.528663097345</v>
      </c>
      <c r="M250" s="111">
        <f t="shared" si="20"/>
        <v>270</v>
      </c>
      <c r="N250" s="111">
        <f t="shared" si="21"/>
        <v>108</v>
      </c>
      <c r="O250" s="149"/>
      <c r="P250" s="150" t="s">
        <v>79</v>
      </c>
      <c r="Q250" s="99">
        <f t="shared" si="26"/>
        <v>27.4475053473451</v>
      </c>
      <c r="U250" s="111">
        <v>24.895696460177</v>
      </c>
      <c r="V250" s="99">
        <f t="shared" si="23"/>
        <v>1.2447848230088</v>
      </c>
      <c r="W250" s="99">
        <f t="shared" si="24"/>
        <v>11.1404812831858</v>
      </c>
    </row>
    <row r="251" ht="22" customHeight="1" spans="1:23">
      <c r="A251" s="108">
        <v>247</v>
      </c>
      <c r="B251" s="148" t="s">
        <v>608</v>
      </c>
      <c r="C251" s="115" t="s">
        <v>602</v>
      </c>
      <c r="D251" s="115" t="s">
        <v>332</v>
      </c>
      <c r="E251" s="152" t="s">
        <v>468</v>
      </c>
      <c r="F251" s="137">
        <v>87</v>
      </c>
      <c r="G251" s="110"/>
      <c r="H251" s="110"/>
      <c r="I251" s="111">
        <v>37.5664400442478</v>
      </c>
      <c r="J251" s="111">
        <v>20</v>
      </c>
      <c r="K251" s="111">
        <v>10</v>
      </c>
      <c r="L251" s="111">
        <f t="shared" si="19"/>
        <v>3268.28028384956</v>
      </c>
      <c r="M251" s="111">
        <f t="shared" si="20"/>
        <v>1740</v>
      </c>
      <c r="N251" s="111">
        <f t="shared" si="21"/>
        <v>870</v>
      </c>
      <c r="O251" s="149"/>
      <c r="P251" s="150" t="s">
        <v>79</v>
      </c>
      <c r="Q251" s="99">
        <f t="shared" si="26"/>
        <v>39.4447620464602</v>
      </c>
      <c r="U251" s="111">
        <v>35.7775619469027</v>
      </c>
      <c r="V251" s="99">
        <f t="shared" si="23"/>
        <v>1.7888780973451</v>
      </c>
      <c r="W251" s="99">
        <f t="shared" si="24"/>
        <v>17.5664400442478</v>
      </c>
    </row>
    <row r="252" ht="22" customHeight="1" spans="1:23">
      <c r="A252" s="108">
        <v>248</v>
      </c>
      <c r="B252" s="148" t="s">
        <v>609</v>
      </c>
      <c r="C252" s="115" t="s">
        <v>602</v>
      </c>
      <c r="D252" s="115" t="s">
        <v>335</v>
      </c>
      <c r="E252" s="152" t="s">
        <v>468</v>
      </c>
      <c r="F252" s="137">
        <v>28</v>
      </c>
      <c r="G252" s="110"/>
      <c r="H252" s="110"/>
      <c r="I252" s="111">
        <v>69.1318513274336</v>
      </c>
      <c r="J252" s="111">
        <v>35</v>
      </c>
      <c r="K252" s="111">
        <v>20</v>
      </c>
      <c r="L252" s="111">
        <f t="shared" si="19"/>
        <v>1935.69183716814</v>
      </c>
      <c r="M252" s="111">
        <f t="shared" si="20"/>
        <v>980</v>
      </c>
      <c r="N252" s="111">
        <f t="shared" si="21"/>
        <v>560</v>
      </c>
      <c r="O252" s="149"/>
      <c r="P252" s="150" t="s">
        <v>79</v>
      </c>
      <c r="Q252" s="99">
        <f t="shared" si="26"/>
        <v>72.5884438938053</v>
      </c>
      <c r="U252" s="111">
        <v>65.8398584070796</v>
      </c>
      <c r="V252" s="99">
        <f t="shared" si="23"/>
        <v>3.29199292035399</v>
      </c>
      <c r="W252" s="99">
        <f t="shared" si="24"/>
        <v>34.1318513274336</v>
      </c>
    </row>
    <row r="253" ht="22" customHeight="1" spans="1:23">
      <c r="A253" s="108">
        <v>249</v>
      </c>
      <c r="B253" s="148" t="s">
        <v>610</v>
      </c>
      <c r="C253" s="115" t="s">
        <v>602</v>
      </c>
      <c r="D253" s="115" t="s">
        <v>330</v>
      </c>
      <c r="E253" s="152" t="s">
        <v>468</v>
      </c>
      <c r="F253" s="137">
        <v>28</v>
      </c>
      <c r="G253" s="110"/>
      <c r="H253" s="110"/>
      <c r="I253" s="111">
        <v>75.1328800884956</v>
      </c>
      <c r="J253" s="111">
        <v>40</v>
      </c>
      <c r="K253" s="111">
        <v>20</v>
      </c>
      <c r="L253" s="111">
        <f t="shared" si="19"/>
        <v>2103.72064247788</v>
      </c>
      <c r="M253" s="111">
        <f t="shared" si="20"/>
        <v>1120</v>
      </c>
      <c r="N253" s="111">
        <f t="shared" si="21"/>
        <v>560</v>
      </c>
      <c r="O253" s="149"/>
      <c r="P253" s="116" t="s">
        <v>79</v>
      </c>
      <c r="Q253" s="99">
        <f t="shared" si="26"/>
        <v>78.8895240929204</v>
      </c>
      <c r="U253" s="111">
        <v>71.5551238938053</v>
      </c>
      <c r="V253" s="99">
        <f t="shared" si="23"/>
        <v>3.57775619469029</v>
      </c>
      <c r="W253" s="99">
        <f t="shared" si="24"/>
        <v>35.1328800884956</v>
      </c>
    </row>
    <row r="254" ht="47" customHeight="1" spans="1:23">
      <c r="A254" s="108">
        <v>250</v>
      </c>
      <c r="B254" s="148" t="s">
        <v>611</v>
      </c>
      <c r="C254" s="134" t="s">
        <v>612</v>
      </c>
      <c r="D254" s="115" t="s">
        <v>613</v>
      </c>
      <c r="E254" s="137" t="s">
        <v>301</v>
      </c>
      <c r="F254" s="137">
        <v>16</v>
      </c>
      <c r="G254" s="110"/>
      <c r="H254" s="110"/>
      <c r="I254" s="111">
        <v>471.680860619469</v>
      </c>
      <c r="J254" s="111">
        <v>280</v>
      </c>
      <c r="K254" s="111">
        <v>100</v>
      </c>
      <c r="L254" s="111">
        <f t="shared" si="19"/>
        <v>7546.8937699115</v>
      </c>
      <c r="M254" s="111">
        <f t="shared" si="20"/>
        <v>4480</v>
      </c>
      <c r="N254" s="111">
        <f t="shared" si="21"/>
        <v>1600</v>
      </c>
      <c r="O254" s="149"/>
      <c r="P254" s="116" t="s">
        <v>614</v>
      </c>
      <c r="Q254" s="99">
        <f t="shared" si="26"/>
        <v>495.264903650442</v>
      </c>
      <c r="U254" s="111">
        <v>449.219867256637</v>
      </c>
      <c r="V254" s="99">
        <f t="shared" si="23"/>
        <v>22.460993362832</v>
      </c>
      <c r="W254" s="99">
        <f t="shared" si="24"/>
        <v>191.680860619469</v>
      </c>
    </row>
    <row r="255" ht="22" customHeight="1" spans="1:23">
      <c r="A255" s="108">
        <v>251</v>
      </c>
      <c r="B255" s="148" t="s">
        <v>615</v>
      </c>
      <c r="C255" s="134" t="s">
        <v>616</v>
      </c>
      <c r="D255" s="115" t="s">
        <v>617</v>
      </c>
      <c r="E255" s="137" t="s">
        <v>301</v>
      </c>
      <c r="F255" s="137">
        <v>147</v>
      </c>
      <c r="G255" s="110"/>
      <c r="H255" s="110"/>
      <c r="I255" s="111">
        <v>249.642796460177</v>
      </c>
      <c r="J255" s="111">
        <v>95</v>
      </c>
      <c r="K255" s="111">
        <v>100</v>
      </c>
      <c r="L255" s="111">
        <f t="shared" si="19"/>
        <v>36697.4910796461</v>
      </c>
      <c r="M255" s="111">
        <f t="shared" si="20"/>
        <v>13965</v>
      </c>
      <c r="N255" s="111">
        <f t="shared" si="21"/>
        <v>14700</v>
      </c>
      <c r="O255" s="149"/>
      <c r="P255" s="116" t="s">
        <v>79</v>
      </c>
      <c r="Q255" s="99">
        <f t="shared" si="26"/>
        <v>262.124936283186</v>
      </c>
      <c r="U255" s="111">
        <v>237.755044247788</v>
      </c>
      <c r="V255" s="99">
        <f t="shared" si="23"/>
        <v>11.887752212389</v>
      </c>
      <c r="W255" s="99">
        <f t="shared" si="24"/>
        <v>154.642796460177</v>
      </c>
    </row>
    <row r="256" ht="22" customHeight="1" spans="1:23">
      <c r="A256" s="108">
        <v>252</v>
      </c>
      <c r="B256" s="148" t="s">
        <v>618</v>
      </c>
      <c r="C256" s="134" t="s">
        <v>619</v>
      </c>
      <c r="D256" s="115" t="s">
        <v>620</v>
      </c>
      <c r="E256" s="137" t="s">
        <v>301</v>
      </c>
      <c r="F256" s="137">
        <v>44</v>
      </c>
      <c r="G256" s="110"/>
      <c r="H256" s="110"/>
      <c r="I256" s="111">
        <v>327.656170353982</v>
      </c>
      <c r="J256" s="111">
        <v>160</v>
      </c>
      <c r="K256" s="111">
        <v>100</v>
      </c>
      <c r="L256" s="111">
        <f t="shared" si="19"/>
        <v>14416.8714955752</v>
      </c>
      <c r="M256" s="111">
        <f t="shared" si="20"/>
        <v>7040</v>
      </c>
      <c r="N256" s="111">
        <f t="shared" si="21"/>
        <v>4400</v>
      </c>
      <c r="O256" s="149"/>
      <c r="P256" s="116" t="s">
        <v>79</v>
      </c>
      <c r="Q256" s="99">
        <f t="shared" si="26"/>
        <v>344.038978871681</v>
      </c>
      <c r="U256" s="111">
        <v>312.053495575221</v>
      </c>
      <c r="V256" s="99">
        <f t="shared" si="23"/>
        <v>15.602674778761</v>
      </c>
      <c r="W256" s="99">
        <f t="shared" si="24"/>
        <v>167.656170353982</v>
      </c>
    </row>
    <row r="257" ht="22" customHeight="1" spans="1:23">
      <c r="A257" s="108">
        <v>253</v>
      </c>
      <c r="B257" s="108">
        <v>8</v>
      </c>
      <c r="C257" s="138" t="s">
        <v>621</v>
      </c>
      <c r="D257" s="115"/>
      <c r="E257" s="108"/>
      <c r="F257" s="108"/>
      <c r="G257" s="110"/>
      <c r="H257" s="110"/>
      <c r="I257" s="111">
        <v>0</v>
      </c>
      <c r="J257" s="111">
        <v>0</v>
      </c>
      <c r="K257" s="111">
        <v>0</v>
      </c>
      <c r="L257" s="111">
        <f>SUM(L258:L266)</f>
        <v>142603.455282301</v>
      </c>
      <c r="M257" s="111">
        <f>SUM(M258:M266)</f>
        <v>30585</v>
      </c>
      <c r="N257" s="111">
        <f>SUM(N258:N266)</f>
        <v>76950</v>
      </c>
      <c r="O257" s="149"/>
      <c r="P257" s="150"/>
      <c r="U257" s="111">
        <v>0</v>
      </c>
      <c r="V257" s="99">
        <f t="shared" si="23"/>
        <v>0</v>
      </c>
      <c r="W257" s="99">
        <f t="shared" si="24"/>
        <v>0</v>
      </c>
    </row>
    <row r="258" ht="22" customHeight="1" spans="1:23">
      <c r="A258" s="108">
        <v>254</v>
      </c>
      <c r="B258" s="108" t="s">
        <v>622</v>
      </c>
      <c r="C258" s="138" t="s">
        <v>324</v>
      </c>
      <c r="D258" s="115"/>
      <c r="E258" s="108"/>
      <c r="F258" s="108"/>
      <c r="G258" s="110"/>
      <c r="H258" s="110"/>
      <c r="I258" s="111">
        <v>0</v>
      </c>
      <c r="J258" s="111">
        <v>0</v>
      </c>
      <c r="K258" s="111">
        <v>0</v>
      </c>
      <c r="L258" s="111">
        <f t="shared" si="19"/>
        <v>0</v>
      </c>
      <c r="M258" s="111">
        <f t="shared" si="20"/>
        <v>0</v>
      </c>
      <c r="N258" s="111">
        <f t="shared" si="21"/>
        <v>0</v>
      </c>
      <c r="O258" s="149"/>
      <c r="P258" s="150"/>
      <c r="U258" s="111">
        <v>0</v>
      </c>
      <c r="V258" s="99">
        <f t="shared" si="23"/>
        <v>0</v>
      </c>
      <c r="W258" s="99">
        <f t="shared" si="24"/>
        <v>0</v>
      </c>
    </row>
    <row r="259" ht="78" customHeight="1" spans="1:23">
      <c r="A259" s="108">
        <v>255</v>
      </c>
      <c r="B259" s="108" t="s">
        <v>623</v>
      </c>
      <c r="C259" s="115" t="s">
        <v>624</v>
      </c>
      <c r="D259" s="134" t="s">
        <v>625</v>
      </c>
      <c r="E259" s="137"/>
      <c r="F259" s="108">
        <v>1</v>
      </c>
      <c r="G259" s="110"/>
      <c r="H259" s="110"/>
      <c r="I259" s="111">
        <v>12987.5</v>
      </c>
      <c r="J259" s="111">
        <v>0</v>
      </c>
      <c r="K259" s="111">
        <v>10000</v>
      </c>
      <c r="L259" s="111">
        <f t="shared" si="19"/>
        <v>12987.5</v>
      </c>
      <c r="M259" s="111">
        <f t="shared" si="20"/>
        <v>0</v>
      </c>
      <c r="N259" s="111">
        <f t="shared" si="21"/>
        <v>10000</v>
      </c>
      <c r="O259" s="149"/>
      <c r="P259" s="116" t="s">
        <v>442</v>
      </c>
      <c r="U259" s="111">
        <v>12987.5</v>
      </c>
      <c r="V259" s="99">
        <f t="shared" si="23"/>
        <v>0</v>
      </c>
      <c r="W259" s="99">
        <f t="shared" si="24"/>
        <v>12987.5</v>
      </c>
    </row>
    <row r="260" ht="22" customHeight="1" spans="1:23">
      <c r="A260" s="108">
        <v>256</v>
      </c>
      <c r="B260" s="108">
        <v>8.2</v>
      </c>
      <c r="C260" s="138" t="s">
        <v>316</v>
      </c>
      <c r="D260" s="115"/>
      <c r="E260" s="108"/>
      <c r="F260" s="108"/>
      <c r="G260" s="110"/>
      <c r="H260" s="110"/>
      <c r="I260" s="111">
        <v>0</v>
      </c>
      <c r="J260" s="111">
        <v>0</v>
      </c>
      <c r="K260" s="111">
        <v>0</v>
      </c>
      <c r="L260" s="111">
        <f t="shared" si="19"/>
        <v>0</v>
      </c>
      <c r="M260" s="111">
        <f t="shared" si="20"/>
        <v>0</v>
      </c>
      <c r="N260" s="111">
        <f t="shared" si="21"/>
        <v>0</v>
      </c>
      <c r="O260" s="149"/>
      <c r="P260" s="150"/>
      <c r="U260" s="111">
        <v>0</v>
      </c>
      <c r="V260" s="99">
        <f t="shared" si="23"/>
        <v>0</v>
      </c>
      <c r="W260" s="99">
        <f t="shared" si="24"/>
        <v>0</v>
      </c>
    </row>
    <row r="261" ht="90" customHeight="1" spans="1:23">
      <c r="A261" s="108">
        <v>257</v>
      </c>
      <c r="B261" s="108" t="s">
        <v>626</v>
      </c>
      <c r="C261" s="115" t="s">
        <v>627</v>
      </c>
      <c r="D261" s="115" t="s">
        <v>628</v>
      </c>
      <c r="E261" s="152" t="s">
        <v>468</v>
      </c>
      <c r="F261" s="108">
        <v>1380</v>
      </c>
      <c r="G261" s="110"/>
      <c r="H261" s="110"/>
      <c r="I261" s="111">
        <v>35.83375</v>
      </c>
      <c r="J261" s="111"/>
      <c r="K261" s="111">
        <v>25</v>
      </c>
      <c r="L261" s="111">
        <f t="shared" si="19"/>
        <v>49450.575</v>
      </c>
      <c r="M261" s="111">
        <f t="shared" si="20"/>
        <v>0</v>
      </c>
      <c r="N261" s="111">
        <f t="shared" si="21"/>
        <v>34500</v>
      </c>
      <c r="O261" s="149"/>
      <c r="P261" s="126" t="s">
        <v>629</v>
      </c>
      <c r="U261" s="111">
        <v>35.83375</v>
      </c>
      <c r="V261" s="99">
        <f t="shared" si="23"/>
        <v>0</v>
      </c>
      <c r="W261" s="99">
        <f t="shared" si="24"/>
        <v>35.83375</v>
      </c>
    </row>
    <row r="262" ht="27" customHeight="1" spans="1:23">
      <c r="A262" s="108">
        <v>258</v>
      </c>
      <c r="B262" s="108" t="s">
        <v>630</v>
      </c>
      <c r="C262" s="115" t="s">
        <v>631</v>
      </c>
      <c r="D262" s="115" t="s">
        <v>632</v>
      </c>
      <c r="E262" s="152" t="s">
        <v>468</v>
      </c>
      <c r="F262" s="109">
        <v>900</v>
      </c>
      <c r="G262" s="110"/>
      <c r="H262" s="110"/>
      <c r="I262" s="111">
        <v>6.066177</v>
      </c>
      <c r="J262" s="111"/>
      <c r="K262" s="111">
        <v>4</v>
      </c>
      <c r="L262" s="111">
        <f t="shared" si="19"/>
        <v>5459.5593</v>
      </c>
      <c r="M262" s="111">
        <f t="shared" si="20"/>
        <v>0</v>
      </c>
      <c r="N262" s="111">
        <f t="shared" si="21"/>
        <v>3600</v>
      </c>
      <c r="O262" s="149"/>
      <c r="P262" s="150" t="s">
        <v>79</v>
      </c>
      <c r="U262" s="111">
        <v>6.066177</v>
      </c>
      <c r="V262" s="99">
        <f t="shared" si="23"/>
        <v>0</v>
      </c>
      <c r="W262" s="99">
        <f t="shared" si="24"/>
        <v>6.066177</v>
      </c>
    </row>
    <row r="263" ht="24" customHeight="1" spans="1:23">
      <c r="A263" s="108">
        <v>259</v>
      </c>
      <c r="B263" s="108" t="s">
        <v>633</v>
      </c>
      <c r="C263" s="115" t="s">
        <v>631</v>
      </c>
      <c r="D263" s="115" t="s">
        <v>634</v>
      </c>
      <c r="E263" s="152" t="s">
        <v>468</v>
      </c>
      <c r="F263" s="109">
        <v>1800</v>
      </c>
      <c r="G263" s="110"/>
      <c r="H263" s="110"/>
      <c r="I263" s="111">
        <v>7.535606</v>
      </c>
      <c r="J263" s="111"/>
      <c r="K263" s="111">
        <v>5</v>
      </c>
      <c r="L263" s="111">
        <f t="shared" ref="L263:L326" si="27">F263*I263</f>
        <v>13564.0908</v>
      </c>
      <c r="M263" s="111">
        <f t="shared" ref="M263:M326" si="28">F263*J263</f>
        <v>0</v>
      </c>
      <c r="N263" s="111">
        <f t="shared" ref="N263:N326" si="29">F263*K263</f>
        <v>9000</v>
      </c>
      <c r="O263" s="149"/>
      <c r="P263" s="150" t="s">
        <v>79</v>
      </c>
      <c r="U263" s="111">
        <v>7.535606</v>
      </c>
      <c r="V263" s="99">
        <f t="shared" ref="V263:V326" si="30">I263-U263</f>
        <v>0</v>
      </c>
      <c r="W263" s="99">
        <f t="shared" ref="W263:W326" si="31">I263-J263</f>
        <v>7.535606</v>
      </c>
    </row>
    <row r="264" ht="31" customHeight="1" spans="1:23">
      <c r="A264" s="108">
        <v>260</v>
      </c>
      <c r="B264" s="108" t="s">
        <v>635</v>
      </c>
      <c r="C264" s="115" t="s">
        <v>631</v>
      </c>
      <c r="D264" s="115" t="s">
        <v>636</v>
      </c>
      <c r="E264" s="152" t="s">
        <v>468</v>
      </c>
      <c r="F264" s="109">
        <v>450</v>
      </c>
      <c r="G264" s="110"/>
      <c r="H264" s="110"/>
      <c r="I264" s="111">
        <v>7.663136</v>
      </c>
      <c r="J264" s="111"/>
      <c r="K264" s="111">
        <v>5</v>
      </c>
      <c r="L264" s="111">
        <f t="shared" si="27"/>
        <v>3448.4112</v>
      </c>
      <c r="M264" s="111">
        <f t="shared" si="28"/>
        <v>0</v>
      </c>
      <c r="N264" s="111">
        <f t="shared" si="29"/>
        <v>2250</v>
      </c>
      <c r="O264" s="149"/>
      <c r="P264" s="150" t="s">
        <v>79</v>
      </c>
      <c r="U264" s="111">
        <v>7.663136</v>
      </c>
      <c r="V264" s="99">
        <f t="shared" si="30"/>
        <v>0</v>
      </c>
      <c r="W264" s="99">
        <f t="shared" si="31"/>
        <v>7.663136</v>
      </c>
    </row>
    <row r="265" ht="54" customHeight="1" spans="1:23">
      <c r="A265" s="108">
        <v>261</v>
      </c>
      <c r="B265" s="108" t="s">
        <v>637</v>
      </c>
      <c r="C265" s="115" t="s">
        <v>638</v>
      </c>
      <c r="D265" s="115" t="s">
        <v>628</v>
      </c>
      <c r="E265" s="137" t="s">
        <v>305</v>
      </c>
      <c r="F265" s="108">
        <v>6</v>
      </c>
      <c r="G265" s="110"/>
      <c r="H265" s="110"/>
      <c r="I265" s="111">
        <v>1674.57278761062</v>
      </c>
      <c r="J265" s="111">
        <v>900</v>
      </c>
      <c r="K265" s="111">
        <v>500</v>
      </c>
      <c r="L265" s="111">
        <f t="shared" si="27"/>
        <v>10047.4367256637</v>
      </c>
      <c r="M265" s="111">
        <f t="shared" si="28"/>
        <v>5400</v>
      </c>
      <c r="N265" s="111">
        <f t="shared" si="29"/>
        <v>3000</v>
      </c>
      <c r="O265" s="149"/>
      <c r="P265" s="176" t="s">
        <v>639</v>
      </c>
      <c r="U265" s="111">
        <v>1674.57278761062</v>
      </c>
      <c r="V265" s="99">
        <f t="shared" si="30"/>
        <v>0</v>
      </c>
      <c r="W265" s="99">
        <f t="shared" si="31"/>
        <v>774.57278761062</v>
      </c>
    </row>
    <row r="266" ht="55" customHeight="1" spans="1:23">
      <c r="A266" s="108">
        <v>262</v>
      </c>
      <c r="B266" s="108" t="s">
        <v>640</v>
      </c>
      <c r="C266" s="134" t="s">
        <v>641</v>
      </c>
      <c r="D266" s="115" t="s">
        <v>350</v>
      </c>
      <c r="E266" s="137" t="s">
        <v>351</v>
      </c>
      <c r="F266" s="177">
        <v>3.65</v>
      </c>
      <c r="G266" s="110"/>
      <c r="H266" s="110"/>
      <c r="I266" s="111">
        <v>13053.6663716814</v>
      </c>
      <c r="J266" s="111">
        <v>6900</v>
      </c>
      <c r="K266" s="111">
        <v>4000</v>
      </c>
      <c r="L266" s="111">
        <f t="shared" si="27"/>
        <v>47645.8822566371</v>
      </c>
      <c r="M266" s="111">
        <f t="shared" si="28"/>
        <v>25185</v>
      </c>
      <c r="N266" s="111">
        <f t="shared" si="29"/>
        <v>14600</v>
      </c>
      <c r="O266" s="149"/>
      <c r="P266" s="116" t="s">
        <v>591</v>
      </c>
      <c r="U266" s="111">
        <v>13053.6663716814</v>
      </c>
      <c r="V266" s="99">
        <f t="shared" si="30"/>
        <v>0</v>
      </c>
      <c r="W266" s="99">
        <f t="shared" si="31"/>
        <v>6153.6663716814</v>
      </c>
    </row>
    <row r="267" ht="22" customHeight="1" spans="1:23">
      <c r="A267" s="108">
        <v>263</v>
      </c>
      <c r="B267" s="108">
        <v>9</v>
      </c>
      <c r="C267" s="115" t="s">
        <v>642</v>
      </c>
      <c r="D267" s="115"/>
      <c r="E267" s="108"/>
      <c r="F267" s="108"/>
      <c r="G267" s="110"/>
      <c r="H267" s="110"/>
      <c r="I267" s="111">
        <v>0</v>
      </c>
      <c r="J267" s="111">
        <v>0</v>
      </c>
      <c r="K267" s="111">
        <v>0</v>
      </c>
      <c r="L267" s="111">
        <f>SUM(L268:L299)</f>
        <v>93942.6294325221</v>
      </c>
      <c r="M267" s="111">
        <f>SUM(M268:M299)</f>
        <v>11088</v>
      </c>
      <c r="N267" s="111">
        <f>SUM(N268:N299)</f>
        <v>59565</v>
      </c>
      <c r="O267" s="149"/>
      <c r="P267" s="150"/>
      <c r="U267" s="111">
        <v>0</v>
      </c>
      <c r="V267" s="99">
        <f t="shared" si="30"/>
        <v>0</v>
      </c>
      <c r="W267" s="99">
        <f t="shared" si="31"/>
        <v>0</v>
      </c>
    </row>
    <row r="268" ht="22" customHeight="1" spans="1:23">
      <c r="A268" s="108">
        <v>264</v>
      </c>
      <c r="B268" s="108" t="s">
        <v>643</v>
      </c>
      <c r="C268" s="115" t="s">
        <v>324</v>
      </c>
      <c r="D268" s="115"/>
      <c r="E268" s="108"/>
      <c r="F268" s="108"/>
      <c r="G268" s="110"/>
      <c r="H268" s="110"/>
      <c r="I268" s="111">
        <v>0</v>
      </c>
      <c r="J268" s="111">
        <v>0</v>
      </c>
      <c r="K268" s="111">
        <v>0</v>
      </c>
      <c r="L268" s="111">
        <f t="shared" si="27"/>
        <v>0</v>
      </c>
      <c r="M268" s="111">
        <f t="shared" si="28"/>
        <v>0</v>
      </c>
      <c r="N268" s="111">
        <f t="shared" si="29"/>
        <v>0</v>
      </c>
      <c r="O268" s="149"/>
      <c r="P268" s="150"/>
      <c r="U268" s="111">
        <v>0</v>
      </c>
      <c r="V268" s="99">
        <f t="shared" si="30"/>
        <v>0</v>
      </c>
      <c r="W268" s="99">
        <f t="shared" si="31"/>
        <v>0</v>
      </c>
    </row>
    <row r="269" ht="122" customHeight="1" spans="1:23">
      <c r="A269" s="108">
        <v>265</v>
      </c>
      <c r="B269" s="108" t="s">
        <v>644</v>
      </c>
      <c r="C269" s="115" t="s">
        <v>645</v>
      </c>
      <c r="D269" s="115"/>
      <c r="E269" s="108" t="s">
        <v>301</v>
      </c>
      <c r="F269" s="108">
        <v>2</v>
      </c>
      <c r="G269" s="110"/>
      <c r="H269" s="110"/>
      <c r="I269" s="111">
        <v>2324.97</v>
      </c>
      <c r="J269" s="111">
        <v>0</v>
      </c>
      <c r="K269" s="111">
        <v>1800</v>
      </c>
      <c r="L269" s="111">
        <f t="shared" si="27"/>
        <v>4649.94</v>
      </c>
      <c r="M269" s="111">
        <f t="shared" si="28"/>
        <v>0</v>
      </c>
      <c r="N269" s="111">
        <f t="shared" si="29"/>
        <v>3600</v>
      </c>
      <c r="O269" s="149"/>
      <c r="P269" s="116" t="s">
        <v>646</v>
      </c>
      <c r="U269" s="111">
        <v>2324.97</v>
      </c>
      <c r="V269" s="99">
        <f t="shared" si="30"/>
        <v>0</v>
      </c>
      <c r="W269" s="99">
        <f t="shared" si="31"/>
        <v>2324.97</v>
      </c>
    </row>
    <row r="270" ht="22" customHeight="1" spans="1:23">
      <c r="A270" s="108">
        <v>266</v>
      </c>
      <c r="B270" s="108" t="s">
        <v>647</v>
      </c>
      <c r="C270" s="115" t="s">
        <v>648</v>
      </c>
      <c r="D270" s="115"/>
      <c r="E270" s="108" t="s">
        <v>301</v>
      </c>
      <c r="F270" s="108">
        <v>4</v>
      </c>
      <c r="G270" s="110"/>
      <c r="H270" s="110"/>
      <c r="I270" s="111">
        <v>1549.98</v>
      </c>
      <c r="J270" s="111">
        <v>0</v>
      </c>
      <c r="K270" s="111">
        <v>1200</v>
      </c>
      <c r="L270" s="111">
        <f t="shared" si="27"/>
        <v>6199.92</v>
      </c>
      <c r="M270" s="111">
        <f t="shared" si="28"/>
        <v>0</v>
      </c>
      <c r="N270" s="111">
        <f t="shared" si="29"/>
        <v>4800</v>
      </c>
      <c r="O270" s="149"/>
      <c r="P270" s="150" t="s">
        <v>79</v>
      </c>
      <c r="U270" s="111">
        <v>1549.98</v>
      </c>
      <c r="V270" s="99">
        <f t="shared" si="30"/>
        <v>0</v>
      </c>
      <c r="W270" s="99">
        <f t="shared" si="31"/>
        <v>1549.98</v>
      </c>
    </row>
    <row r="271" ht="22" customHeight="1" spans="1:23">
      <c r="A271" s="108">
        <v>267</v>
      </c>
      <c r="B271" s="108" t="s">
        <v>649</v>
      </c>
      <c r="C271" s="115" t="s">
        <v>650</v>
      </c>
      <c r="D271" s="115"/>
      <c r="E271" s="108" t="s">
        <v>301</v>
      </c>
      <c r="F271" s="108">
        <v>2</v>
      </c>
      <c r="G271" s="110"/>
      <c r="H271" s="110"/>
      <c r="I271" s="111">
        <v>1291.65</v>
      </c>
      <c r="J271" s="111">
        <v>0</v>
      </c>
      <c r="K271" s="111">
        <v>1000</v>
      </c>
      <c r="L271" s="111">
        <f t="shared" si="27"/>
        <v>2583.3</v>
      </c>
      <c r="M271" s="111">
        <f t="shared" si="28"/>
        <v>0</v>
      </c>
      <c r="N271" s="111">
        <f t="shared" si="29"/>
        <v>2000</v>
      </c>
      <c r="O271" s="149"/>
      <c r="P271" s="150" t="s">
        <v>79</v>
      </c>
      <c r="U271" s="111">
        <v>1291.65</v>
      </c>
      <c r="V271" s="99">
        <f t="shared" si="30"/>
        <v>0</v>
      </c>
      <c r="W271" s="99">
        <f t="shared" si="31"/>
        <v>1291.65</v>
      </c>
    </row>
    <row r="272" ht="22" customHeight="1" spans="1:23">
      <c r="A272" s="108">
        <v>268</v>
      </c>
      <c r="B272" s="108" t="s">
        <v>651</v>
      </c>
      <c r="C272" s="115" t="s">
        <v>652</v>
      </c>
      <c r="D272" s="115"/>
      <c r="E272" s="108" t="s">
        <v>653</v>
      </c>
      <c r="F272" s="108">
        <v>2</v>
      </c>
      <c r="G272" s="110"/>
      <c r="H272" s="110"/>
      <c r="I272" s="111">
        <v>258.33</v>
      </c>
      <c r="J272" s="111">
        <v>0</v>
      </c>
      <c r="K272" s="111">
        <v>200</v>
      </c>
      <c r="L272" s="111">
        <f t="shared" si="27"/>
        <v>516.66</v>
      </c>
      <c r="M272" s="111">
        <f t="shared" si="28"/>
        <v>0</v>
      </c>
      <c r="N272" s="111">
        <f t="shared" si="29"/>
        <v>400</v>
      </c>
      <c r="O272" s="149"/>
      <c r="P272" s="150" t="s">
        <v>79</v>
      </c>
      <c r="U272" s="111">
        <v>258.33</v>
      </c>
      <c r="V272" s="99">
        <f t="shared" si="30"/>
        <v>0</v>
      </c>
      <c r="W272" s="99">
        <f t="shared" si="31"/>
        <v>258.33</v>
      </c>
    </row>
    <row r="273" ht="22" customHeight="1" spans="1:23">
      <c r="A273" s="108">
        <v>269</v>
      </c>
      <c r="B273" s="108" t="s">
        <v>654</v>
      </c>
      <c r="C273" s="115" t="s">
        <v>655</v>
      </c>
      <c r="D273" s="115"/>
      <c r="E273" s="108" t="s">
        <v>336</v>
      </c>
      <c r="F273" s="108">
        <v>3</v>
      </c>
      <c r="G273" s="110"/>
      <c r="H273" s="110"/>
      <c r="I273" s="111">
        <v>387.495</v>
      </c>
      <c r="J273" s="111">
        <v>0</v>
      </c>
      <c r="K273" s="111">
        <v>300</v>
      </c>
      <c r="L273" s="111">
        <f t="shared" si="27"/>
        <v>1162.485</v>
      </c>
      <c r="M273" s="111">
        <f t="shared" si="28"/>
        <v>0</v>
      </c>
      <c r="N273" s="111">
        <f t="shared" si="29"/>
        <v>900</v>
      </c>
      <c r="O273" s="149"/>
      <c r="P273" s="150" t="s">
        <v>79</v>
      </c>
      <c r="U273" s="111">
        <v>387.495</v>
      </c>
      <c r="V273" s="99">
        <f t="shared" si="30"/>
        <v>0</v>
      </c>
      <c r="W273" s="99">
        <f t="shared" si="31"/>
        <v>387.495</v>
      </c>
    </row>
    <row r="274" ht="22" customHeight="1" spans="1:23">
      <c r="A274" s="108">
        <v>270</v>
      </c>
      <c r="B274" s="108" t="s">
        <v>656</v>
      </c>
      <c r="C274" s="115" t="s">
        <v>657</v>
      </c>
      <c r="D274" s="115"/>
      <c r="E274" s="108" t="s">
        <v>336</v>
      </c>
      <c r="F274" s="108">
        <v>8</v>
      </c>
      <c r="G274" s="110"/>
      <c r="H274" s="110"/>
      <c r="I274" s="111">
        <v>258.33</v>
      </c>
      <c r="J274" s="111">
        <v>0</v>
      </c>
      <c r="K274" s="111">
        <v>200</v>
      </c>
      <c r="L274" s="111">
        <f t="shared" si="27"/>
        <v>2066.64</v>
      </c>
      <c r="M274" s="111">
        <f t="shared" si="28"/>
        <v>0</v>
      </c>
      <c r="N274" s="111">
        <f t="shared" si="29"/>
        <v>1600</v>
      </c>
      <c r="O274" s="149"/>
      <c r="P274" s="150" t="s">
        <v>79</v>
      </c>
      <c r="U274" s="111">
        <v>258.33</v>
      </c>
      <c r="V274" s="99">
        <f t="shared" si="30"/>
        <v>0</v>
      </c>
      <c r="W274" s="99">
        <f t="shared" si="31"/>
        <v>258.33</v>
      </c>
    </row>
    <row r="275" ht="22" customHeight="1" spans="1:23">
      <c r="A275" s="108">
        <v>271</v>
      </c>
      <c r="B275" s="108" t="s">
        <v>658</v>
      </c>
      <c r="C275" s="115" t="s">
        <v>659</v>
      </c>
      <c r="D275" s="115"/>
      <c r="E275" s="108" t="s">
        <v>336</v>
      </c>
      <c r="F275" s="108">
        <v>14</v>
      </c>
      <c r="G275" s="110"/>
      <c r="H275" s="110"/>
      <c r="I275" s="111">
        <v>129.165</v>
      </c>
      <c r="J275" s="111">
        <v>0</v>
      </c>
      <c r="K275" s="111">
        <v>100</v>
      </c>
      <c r="L275" s="111">
        <f t="shared" si="27"/>
        <v>1808.31</v>
      </c>
      <c r="M275" s="111">
        <f t="shared" si="28"/>
        <v>0</v>
      </c>
      <c r="N275" s="111">
        <f t="shared" si="29"/>
        <v>1400</v>
      </c>
      <c r="O275" s="149"/>
      <c r="P275" s="150" t="s">
        <v>79</v>
      </c>
      <c r="U275" s="111">
        <v>129.165</v>
      </c>
      <c r="V275" s="99">
        <f t="shared" si="30"/>
        <v>0</v>
      </c>
      <c r="W275" s="99">
        <f t="shared" si="31"/>
        <v>129.165</v>
      </c>
    </row>
    <row r="276" ht="22" customHeight="1" spans="1:23">
      <c r="A276" s="108">
        <v>272</v>
      </c>
      <c r="B276" s="108" t="s">
        <v>660</v>
      </c>
      <c r="C276" s="115" t="s">
        <v>661</v>
      </c>
      <c r="D276" s="115" t="s">
        <v>338</v>
      </c>
      <c r="E276" s="108" t="s">
        <v>336</v>
      </c>
      <c r="F276" s="108">
        <v>8</v>
      </c>
      <c r="G276" s="110"/>
      <c r="H276" s="110"/>
      <c r="I276" s="111">
        <v>64.5825</v>
      </c>
      <c r="J276" s="111">
        <v>0</v>
      </c>
      <c r="K276" s="111">
        <v>50</v>
      </c>
      <c r="L276" s="111">
        <f t="shared" si="27"/>
        <v>516.66</v>
      </c>
      <c r="M276" s="111">
        <f t="shared" si="28"/>
        <v>0</v>
      </c>
      <c r="N276" s="111">
        <f t="shared" si="29"/>
        <v>400</v>
      </c>
      <c r="O276" s="149"/>
      <c r="P276" s="150" t="s">
        <v>79</v>
      </c>
      <c r="U276" s="111">
        <v>64.5825</v>
      </c>
      <c r="V276" s="99">
        <f t="shared" si="30"/>
        <v>0</v>
      </c>
      <c r="W276" s="99">
        <f t="shared" si="31"/>
        <v>64.5825</v>
      </c>
    </row>
    <row r="277" ht="22" customHeight="1" spans="1:23">
      <c r="A277" s="108">
        <v>273</v>
      </c>
      <c r="B277" s="108" t="s">
        <v>662</v>
      </c>
      <c r="C277" s="115" t="s">
        <v>663</v>
      </c>
      <c r="D277" s="115"/>
      <c r="E277" s="108" t="s">
        <v>336</v>
      </c>
      <c r="F277" s="108">
        <v>1</v>
      </c>
      <c r="G277" s="110"/>
      <c r="H277" s="110"/>
      <c r="I277" s="111">
        <v>193.7475</v>
      </c>
      <c r="J277" s="111">
        <v>0</v>
      </c>
      <c r="K277" s="111">
        <v>150</v>
      </c>
      <c r="L277" s="111">
        <f t="shared" si="27"/>
        <v>193.7475</v>
      </c>
      <c r="M277" s="111">
        <f t="shared" si="28"/>
        <v>0</v>
      </c>
      <c r="N277" s="111">
        <f t="shared" si="29"/>
        <v>150</v>
      </c>
      <c r="O277" s="149"/>
      <c r="P277" s="150" t="s">
        <v>79</v>
      </c>
      <c r="U277" s="111">
        <v>193.7475</v>
      </c>
      <c r="V277" s="99">
        <f t="shared" si="30"/>
        <v>0</v>
      </c>
      <c r="W277" s="99">
        <f t="shared" si="31"/>
        <v>193.7475</v>
      </c>
    </row>
    <row r="278" ht="22" customHeight="1" spans="1:23">
      <c r="A278" s="108">
        <v>274</v>
      </c>
      <c r="B278" s="108" t="s">
        <v>664</v>
      </c>
      <c r="C278" s="115" t="s">
        <v>665</v>
      </c>
      <c r="D278" s="115"/>
      <c r="E278" s="108" t="s">
        <v>336</v>
      </c>
      <c r="F278" s="108">
        <v>1</v>
      </c>
      <c r="G278" s="110"/>
      <c r="H278" s="110"/>
      <c r="I278" s="111">
        <v>129.165</v>
      </c>
      <c r="J278" s="111">
        <v>0</v>
      </c>
      <c r="K278" s="111">
        <v>100</v>
      </c>
      <c r="L278" s="111">
        <f t="shared" si="27"/>
        <v>129.165</v>
      </c>
      <c r="M278" s="111">
        <f t="shared" si="28"/>
        <v>0</v>
      </c>
      <c r="N278" s="111">
        <f t="shared" si="29"/>
        <v>100</v>
      </c>
      <c r="O278" s="149"/>
      <c r="P278" s="150" t="s">
        <v>79</v>
      </c>
      <c r="U278" s="111">
        <v>129.165</v>
      </c>
      <c r="V278" s="99">
        <f t="shared" si="30"/>
        <v>0</v>
      </c>
      <c r="W278" s="99">
        <f t="shared" si="31"/>
        <v>129.165</v>
      </c>
    </row>
    <row r="279" ht="22" customHeight="1" spans="1:23">
      <c r="A279" s="108">
        <v>275</v>
      </c>
      <c r="B279" s="108" t="s">
        <v>666</v>
      </c>
      <c r="C279" s="115" t="s">
        <v>667</v>
      </c>
      <c r="D279" s="115"/>
      <c r="E279" s="108" t="s">
        <v>336</v>
      </c>
      <c r="F279" s="108">
        <v>1</v>
      </c>
      <c r="G279" s="110"/>
      <c r="H279" s="110"/>
      <c r="I279" s="111">
        <v>193.7475</v>
      </c>
      <c r="J279" s="111">
        <v>0</v>
      </c>
      <c r="K279" s="111">
        <v>150</v>
      </c>
      <c r="L279" s="111">
        <f t="shared" si="27"/>
        <v>193.7475</v>
      </c>
      <c r="M279" s="111">
        <f t="shared" si="28"/>
        <v>0</v>
      </c>
      <c r="N279" s="111">
        <f t="shared" si="29"/>
        <v>150</v>
      </c>
      <c r="O279" s="149"/>
      <c r="P279" s="150" t="s">
        <v>79</v>
      </c>
      <c r="U279" s="111">
        <v>193.7475</v>
      </c>
      <c r="V279" s="99">
        <f t="shared" si="30"/>
        <v>0</v>
      </c>
      <c r="W279" s="99">
        <f t="shared" si="31"/>
        <v>193.7475</v>
      </c>
    </row>
    <row r="280" ht="22" customHeight="1" spans="1:23">
      <c r="A280" s="108">
        <v>276</v>
      </c>
      <c r="B280" s="108" t="s">
        <v>668</v>
      </c>
      <c r="C280" s="178" t="s">
        <v>669</v>
      </c>
      <c r="D280" s="178"/>
      <c r="E280" s="179" t="s">
        <v>670</v>
      </c>
      <c r="F280" s="179">
        <v>4</v>
      </c>
      <c r="G280" s="180"/>
      <c r="H280" s="110"/>
      <c r="I280" s="111">
        <v>1033.32</v>
      </c>
      <c r="J280" s="111">
        <v>0</v>
      </c>
      <c r="K280" s="111">
        <v>800</v>
      </c>
      <c r="L280" s="111">
        <f t="shared" si="27"/>
        <v>4133.28</v>
      </c>
      <c r="M280" s="111">
        <f t="shared" si="28"/>
        <v>0</v>
      </c>
      <c r="N280" s="111">
        <f t="shared" si="29"/>
        <v>3200</v>
      </c>
      <c r="O280" s="149"/>
      <c r="P280" s="150" t="s">
        <v>79</v>
      </c>
      <c r="U280" s="111">
        <v>1033.32</v>
      </c>
      <c r="V280" s="99">
        <f t="shared" si="30"/>
        <v>0</v>
      </c>
      <c r="W280" s="99">
        <f t="shared" si="31"/>
        <v>1033.32</v>
      </c>
    </row>
    <row r="281" ht="22" customHeight="1" spans="1:23">
      <c r="A281" s="108">
        <v>277</v>
      </c>
      <c r="B281" s="108" t="s">
        <v>671</v>
      </c>
      <c r="C281" s="178" t="s">
        <v>672</v>
      </c>
      <c r="D281" s="178"/>
      <c r="E281" s="179" t="s">
        <v>336</v>
      </c>
      <c r="F281" s="179">
        <v>4</v>
      </c>
      <c r="G281" s="180"/>
      <c r="H281" s="110"/>
      <c r="I281" s="111">
        <v>1033.32</v>
      </c>
      <c r="J281" s="111">
        <v>0</v>
      </c>
      <c r="K281" s="111">
        <v>800</v>
      </c>
      <c r="L281" s="111">
        <f t="shared" si="27"/>
        <v>4133.28</v>
      </c>
      <c r="M281" s="111">
        <f t="shared" si="28"/>
        <v>0</v>
      </c>
      <c r="N281" s="111">
        <f t="shared" si="29"/>
        <v>3200</v>
      </c>
      <c r="O281" s="149"/>
      <c r="P281" s="150" t="s">
        <v>79</v>
      </c>
      <c r="U281" s="111">
        <v>1033.32</v>
      </c>
      <c r="V281" s="99">
        <f t="shared" si="30"/>
        <v>0</v>
      </c>
      <c r="W281" s="99">
        <f t="shared" si="31"/>
        <v>1033.32</v>
      </c>
    </row>
    <row r="282" ht="22" customHeight="1" spans="1:23">
      <c r="A282" s="108">
        <v>278</v>
      </c>
      <c r="B282" s="108" t="s">
        <v>673</v>
      </c>
      <c r="C282" s="178" t="s">
        <v>450</v>
      </c>
      <c r="D282" s="178"/>
      <c r="E282" s="179" t="s">
        <v>305</v>
      </c>
      <c r="F282" s="179">
        <v>4</v>
      </c>
      <c r="G282" s="180"/>
      <c r="H282" s="110"/>
      <c r="I282" s="111">
        <v>645.825</v>
      </c>
      <c r="J282" s="111">
        <v>0</v>
      </c>
      <c r="K282" s="111">
        <v>500</v>
      </c>
      <c r="L282" s="111">
        <f t="shared" si="27"/>
        <v>2583.3</v>
      </c>
      <c r="M282" s="111">
        <f t="shared" si="28"/>
        <v>0</v>
      </c>
      <c r="N282" s="111">
        <f t="shared" si="29"/>
        <v>2000</v>
      </c>
      <c r="O282" s="149"/>
      <c r="P282" s="150" t="s">
        <v>79</v>
      </c>
      <c r="U282" s="111">
        <v>645.825</v>
      </c>
      <c r="V282" s="99">
        <f t="shared" si="30"/>
        <v>0</v>
      </c>
      <c r="W282" s="99">
        <f t="shared" si="31"/>
        <v>645.825</v>
      </c>
    </row>
    <row r="283" ht="22" customHeight="1" spans="1:23">
      <c r="A283" s="108">
        <v>279</v>
      </c>
      <c r="B283" s="108" t="s">
        <v>674</v>
      </c>
      <c r="C283" s="178" t="s">
        <v>675</v>
      </c>
      <c r="D283" s="178" t="s">
        <v>676</v>
      </c>
      <c r="E283" s="179" t="s">
        <v>301</v>
      </c>
      <c r="F283" s="179">
        <v>2</v>
      </c>
      <c r="G283" s="180"/>
      <c r="H283" s="110"/>
      <c r="I283" s="111">
        <v>1937.475</v>
      </c>
      <c r="J283" s="111">
        <v>0</v>
      </c>
      <c r="K283" s="111">
        <v>1500</v>
      </c>
      <c r="L283" s="111">
        <f t="shared" si="27"/>
        <v>3874.95</v>
      </c>
      <c r="M283" s="111">
        <f t="shared" si="28"/>
        <v>0</v>
      </c>
      <c r="N283" s="111">
        <f t="shared" si="29"/>
        <v>3000</v>
      </c>
      <c r="O283" s="149"/>
      <c r="P283" s="150" t="s">
        <v>79</v>
      </c>
      <c r="U283" s="111">
        <v>1937.475</v>
      </c>
      <c r="V283" s="99">
        <f t="shared" si="30"/>
        <v>0</v>
      </c>
      <c r="W283" s="99">
        <f t="shared" si="31"/>
        <v>1937.475</v>
      </c>
    </row>
    <row r="284" ht="22" customHeight="1" spans="1:23">
      <c r="A284" s="108">
        <v>280</v>
      </c>
      <c r="B284" s="108">
        <v>9.2</v>
      </c>
      <c r="C284" s="138" t="s">
        <v>316</v>
      </c>
      <c r="D284" s="115"/>
      <c r="E284" s="109"/>
      <c r="F284" s="109"/>
      <c r="G284" s="110"/>
      <c r="H284" s="110"/>
      <c r="I284" s="111">
        <v>0</v>
      </c>
      <c r="J284" s="111">
        <v>0</v>
      </c>
      <c r="K284" s="111">
        <v>0</v>
      </c>
      <c r="L284" s="111">
        <f t="shared" si="27"/>
        <v>0</v>
      </c>
      <c r="M284" s="111">
        <f t="shared" si="28"/>
        <v>0</v>
      </c>
      <c r="N284" s="111">
        <f t="shared" si="29"/>
        <v>0</v>
      </c>
      <c r="O284" s="149"/>
      <c r="P284" s="150"/>
      <c r="U284" s="111">
        <v>0</v>
      </c>
      <c r="V284" s="99">
        <f t="shared" si="30"/>
        <v>0</v>
      </c>
      <c r="W284" s="99">
        <f t="shared" si="31"/>
        <v>0</v>
      </c>
    </row>
    <row r="285" ht="74" customHeight="1" spans="1:23">
      <c r="A285" s="108">
        <v>281</v>
      </c>
      <c r="B285" s="108" t="s">
        <v>677</v>
      </c>
      <c r="C285" s="115" t="s">
        <v>678</v>
      </c>
      <c r="D285" s="115" t="s">
        <v>679</v>
      </c>
      <c r="E285" s="152" t="s">
        <v>468</v>
      </c>
      <c r="F285" s="109">
        <v>1500</v>
      </c>
      <c r="G285" s="110"/>
      <c r="H285" s="110"/>
      <c r="I285" s="111">
        <v>5.830955</v>
      </c>
      <c r="J285" s="111"/>
      <c r="K285" s="111">
        <v>4</v>
      </c>
      <c r="L285" s="111">
        <f t="shared" si="27"/>
        <v>8746.4325</v>
      </c>
      <c r="M285" s="111">
        <f t="shared" si="28"/>
        <v>0</v>
      </c>
      <c r="N285" s="111">
        <f t="shared" si="29"/>
        <v>6000</v>
      </c>
      <c r="O285" s="149"/>
      <c r="P285" s="126" t="s">
        <v>629</v>
      </c>
      <c r="U285" s="111">
        <v>5.830955</v>
      </c>
      <c r="V285" s="99">
        <f t="shared" si="30"/>
        <v>0</v>
      </c>
      <c r="W285" s="99">
        <f t="shared" si="31"/>
        <v>5.830955</v>
      </c>
    </row>
    <row r="286" ht="22" customHeight="1" spans="1:23">
      <c r="A286" s="108">
        <v>282</v>
      </c>
      <c r="B286" s="108" t="s">
        <v>680</v>
      </c>
      <c r="C286" s="115" t="s">
        <v>678</v>
      </c>
      <c r="D286" s="115" t="s">
        <v>681</v>
      </c>
      <c r="E286" s="152" t="s">
        <v>468</v>
      </c>
      <c r="F286" s="109">
        <v>100</v>
      </c>
      <c r="G286" s="110"/>
      <c r="H286" s="110"/>
      <c r="I286" s="111">
        <v>5.996744</v>
      </c>
      <c r="J286" s="111"/>
      <c r="K286" s="111">
        <v>4</v>
      </c>
      <c r="L286" s="111">
        <f t="shared" si="27"/>
        <v>599.6744</v>
      </c>
      <c r="M286" s="111">
        <f t="shared" si="28"/>
        <v>0</v>
      </c>
      <c r="N286" s="111">
        <f t="shared" si="29"/>
        <v>400</v>
      </c>
      <c r="O286" s="149"/>
      <c r="P286" s="150" t="s">
        <v>79</v>
      </c>
      <c r="U286" s="111">
        <v>5.996744</v>
      </c>
      <c r="V286" s="99">
        <f t="shared" si="30"/>
        <v>0</v>
      </c>
      <c r="W286" s="99">
        <f t="shared" si="31"/>
        <v>5.996744</v>
      </c>
    </row>
    <row r="287" ht="22" customHeight="1" spans="1:23">
      <c r="A287" s="108">
        <v>283</v>
      </c>
      <c r="B287" s="108" t="s">
        <v>682</v>
      </c>
      <c r="C287" s="115" t="s">
        <v>683</v>
      </c>
      <c r="D287" s="115" t="s">
        <v>684</v>
      </c>
      <c r="E287" s="152" t="s">
        <v>468</v>
      </c>
      <c r="F287" s="109">
        <v>500</v>
      </c>
      <c r="G287" s="110"/>
      <c r="H287" s="110"/>
      <c r="I287" s="111">
        <v>0.167206</v>
      </c>
      <c r="J287" s="111"/>
      <c r="K287" s="111">
        <v>0</v>
      </c>
      <c r="L287" s="111">
        <f t="shared" si="27"/>
        <v>83.603</v>
      </c>
      <c r="M287" s="111">
        <f t="shared" si="28"/>
        <v>0</v>
      </c>
      <c r="N287" s="111">
        <f t="shared" si="29"/>
        <v>0</v>
      </c>
      <c r="O287" s="149"/>
      <c r="P287" s="150" t="s">
        <v>79</v>
      </c>
      <c r="U287" s="111">
        <v>0.167206</v>
      </c>
      <c r="V287" s="99">
        <f t="shared" si="30"/>
        <v>0</v>
      </c>
      <c r="W287" s="99">
        <f t="shared" si="31"/>
        <v>0.167206</v>
      </c>
    </row>
    <row r="288" ht="22" customHeight="1" spans="1:23">
      <c r="A288" s="108">
        <v>284</v>
      </c>
      <c r="B288" s="108" t="s">
        <v>685</v>
      </c>
      <c r="C288" s="115" t="s">
        <v>686</v>
      </c>
      <c r="D288" s="115" t="s">
        <v>687</v>
      </c>
      <c r="E288" s="152" t="s">
        <v>468</v>
      </c>
      <c r="F288" s="109">
        <v>500</v>
      </c>
      <c r="G288" s="110"/>
      <c r="H288" s="110"/>
      <c r="I288" s="111">
        <v>5.731765</v>
      </c>
      <c r="J288" s="111"/>
      <c r="K288" s="111">
        <v>4</v>
      </c>
      <c r="L288" s="111">
        <f t="shared" si="27"/>
        <v>2865.8825</v>
      </c>
      <c r="M288" s="111">
        <f t="shared" si="28"/>
        <v>0</v>
      </c>
      <c r="N288" s="111">
        <f t="shared" si="29"/>
        <v>2000</v>
      </c>
      <c r="O288" s="149"/>
      <c r="P288" s="150" t="s">
        <v>79</v>
      </c>
      <c r="U288" s="111">
        <v>5.731765</v>
      </c>
      <c r="V288" s="99">
        <f t="shared" si="30"/>
        <v>0</v>
      </c>
      <c r="W288" s="99">
        <f t="shared" si="31"/>
        <v>5.731765</v>
      </c>
    </row>
    <row r="289" ht="22" customHeight="1" spans="1:23">
      <c r="A289" s="108">
        <v>285</v>
      </c>
      <c r="B289" s="108" t="s">
        <v>688</v>
      </c>
      <c r="C289" s="115" t="s">
        <v>686</v>
      </c>
      <c r="D289" s="115" t="s">
        <v>687</v>
      </c>
      <c r="E289" s="152" t="s">
        <v>468</v>
      </c>
      <c r="F289" s="109">
        <v>1000</v>
      </c>
      <c r="G289" s="110"/>
      <c r="H289" s="110"/>
      <c r="I289" s="111">
        <v>5.731765</v>
      </c>
      <c r="J289" s="111"/>
      <c r="K289" s="111">
        <v>4</v>
      </c>
      <c r="L289" s="111">
        <f t="shared" si="27"/>
        <v>5731.765</v>
      </c>
      <c r="M289" s="111">
        <f t="shared" si="28"/>
        <v>0</v>
      </c>
      <c r="N289" s="111">
        <f t="shared" si="29"/>
        <v>4000</v>
      </c>
      <c r="O289" s="149"/>
      <c r="P289" s="150" t="s">
        <v>79</v>
      </c>
      <c r="U289" s="111">
        <v>5.731765</v>
      </c>
      <c r="V289" s="99">
        <f t="shared" si="30"/>
        <v>0</v>
      </c>
      <c r="W289" s="99">
        <f t="shared" si="31"/>
        <v>5.731765</v>
      </c>
    </row>
    <row r="290" ht="22" customHeight="1" spans="1:23">
      <c r="A290" s="108">
        <v>286</v>
      </c>
      <c r="B290" s="108" t="s">
        <v>689</v>
      </c>
      <c r="C290" s="115" t="s">
        <v>690</v>
      </c>
      <c r="D290" s="115" t="s">
        <v>691</v>
      </c>
      <c r="E290" s="152" t="s">
        <v>468</v>
      </c>
      <c r="F290" s="109">
        <v>300</v>
      </c>
      <c r="G290" s="110"/>
      <c r="H290" s="110"/>
      <c r="I290" s="111">
        <v>5.747352</v>
      </c>
      <c r="J290" s="111"/>
      <c r="K290" s="111">
        <v>4</v>
      </c>
      <c r="L290" s="111">
        <f t="shared" si="27"/>
        <v>1724.2056</v>
      </c>
      <c r="M290" s="111">
        <f t="shared" si="28"/>
        <v>0</v>
      </c>
      <c r="N290" s="111">
        <f t="shared" si="29"/>
        <v>1200</v>
      </c>
      <c r="O290" s="149"/>
      <c r="P290" s="150" t="s">
        <v>79</v>
      </c>
      <c r="U290" s="111">
        <v>5.747352</v>
      </c>
      <c r="V290" s="99">
        <f t="shared" si="30"/>
        <v>0</v>
      </c>
      <c r="W290" s="99">
        <f t="shared" si="31"/>
        <v>5.747352</v>
      </c>
    </row>
    <row r="291" ht="22" customHeight="1" spans="1:23">
      <c r="A291" s="108">
        <v>287</v>
      </c>
      <c r="B291" s="108" t="s">
        <v>692</v>
      </c>
      <c r="C291" s="181" t="s">
        <v>693</v>
      </c>
      <c r="D291" s="178"/>
      <c r="E291" s="152" t="s">
        <v>468</v>
      </c>
      <c r="F291" s="179">
        <v>500</v>
      </c>
      <c r="G291" s="180"/>
      <c r="H291" s="110"/>
      <c r="I291" s="111">
        <v>11.336</v>
      </c>
      <c r="J291" s="111">
        <v>0</v>
      </c>
      <c r="K291" s="111">
        <v>8</v>
      </c>
      <c r="L291" s="111">
        <f t="shared" si="27"/>
        <v>5668</v>
      </c>
      <c r="M291" s="111">
        <f t="shared" si="28"/>
        <v>0</v>
      </c>
      <c r="N291" s="111">
        <f t="shared" si="29"/>
        <v>4000</v>
      </c>
      <c r="O291" s="149"/>
      <c r="P291" s="150" t="s">
        <v>79</v>
      </c>
      <c r="U291" s="111">
        <v>11.336</v>
      </c>
      <c r="V291" s="99">
        <f t="shared" si="30"/>
        <v>0</v>
      </c>
      <c r="W291" s="99">
        <f t="shared" si="31"/>
        <v>11.336</v>
      </c>
    </row>
    <row r="292" ht="22" customHeight="1" spans="1:23">
      <c r="A292" s="108">
        <v>288</v>
      </c>
      <c r="B292" s="108" t="s">
        <v>694</v>
      </c>
      <c r="C292" s="178" t="s">
        <v>695</v>
      </c>
      <c r="D292" s="178"/>
      <c r="E292" s="152" t="s">
        <v>468</v>
      </c>
      <c r="F292" s="179">
        <v>300</v>
      </c>
      <c r="G292" s="180"/>
      <c r="H292" s="110"/>
      <c r="I292" s="111">
        <v>11.336</v>
      </c>
      <c r="J292" s="111">
        <v>0</v>
      </c>
      <c r="K292" s="111">
        <v>8</v>
      </c>
      <c r="L292" s="111">
        <f t="shared" si="27"/>
        <v>3400.8</v>
      </c>
      <c r="M292" s="111">
        <f t="shared" si="28"/>
        <v>0</v>
      </c>
      <c r="N292" s="111">
        <f t="shared" si="29"/>
        <v>2400</v>
      </c>
      <c r="O292" s="149"/>
      <c r="P292" s="150" t="s">
        <v>79</v>
      </c>
      <c r="U292" s="111">
        <v>11.336</v>
      </c>
      <c r="V292" s="99">
        <f t="shared" si="30"/>
        <v>0</v>
      </c>
      <c r="W292" s="99">
        <f t="shared" si="31"/>
        <v>11.336</v>
      </c>
    </row>
    <row r="293" ht="22" customHeight="1" spans="1:23">
      <c r="A293" s="108">
        <v>289</v>
      </c>
      <c r="B293" s="108" t="s">
        <v>696</v>
      </c>
      <c r="C293" s="178" t="s">
        <v>697</v>
      </c>
      <c r="D293" s="178"/>
      <c r="E293" s="152" t="s">
        <v>468</v>
      </c>
      <c r="F293" s="179">
        <v>300</v>
      </c>
      <c r="G293" s="180"/>
      <c r="H293" s="110"/>
      <c r="I293" s="111">
        <v>11.336</v>
      </c>
      <c r="J293" s="111">
        <v>0</v>
      </c>
      <c r="K293" s="111">
        <v>8</v>
      </c>
      <c r="L293" s="111">
        <f t="shared" si="27"/>
        <v>3400.8</v>
      </c>
      <c r="M293" s="111">
        <f t="shared" si="28"/>
        <v>0</v>
      </c>
      <c r="N293" s="111">
        <f t="shared" si="29"/>
        <v>2400</v>
      </c>
      <c r="O293" s="149"/>
      <c r="P293" s="150" t="s">
        <v>79</v>
      </c>
      <c r="U293" s="111">
        <v>11.336</v>
      </c>
      <c r="V293" s="99">
        <f t="shared" si="30"/>
        <v>0</v>
      </c>
      <c r="W293" s="99">
        <f t="shared" si="31"/>
        <v>11.336</v>
      </c>
    </row>
    <row r="294" ht="22" customHeight="1" spans="1:23">
      <c r="A294" s="108">
        <v>290</v>
      </c>
      <c r="B294" s="108" t="s">
        <v>698</v>
      </c>
      <c r="C294" s="178" t="s">
        <v>699</v>
      </c>
      <c r="D294" s="178"/>
      <c r="E294" s="152" t="s">
        <v>468</v>
      </c>
      <c r="F294" s="179">
        <v>500</v>
      </c>
      <c r="G294" s="180"/>
      <c r="H294" s="110"/>
      <c r="I294" s="111">
        <v>11.336</v>
      </c>
      <c r="J294" s="111">
        <v>0</v>
      </c>
      <c r="K294" s="111">
        <v>8</v>
      </c>
      <c r="L294" s="111">
        <f t="shared" si="27"/>
        <v>5668</v>
      </c>
      <c r="M294" s="111">
        <f t="shared" si="28"/>
        <v>0</v>
      </c>
      <c r="N294" s="111">
        <f t="shared" si="29"/>
        <v>4000</v>
      </c>
      <c r="O294" s="149"/>
      <c r="P294" s="150" t="s">
        <v>79</v>
      </c>
      <c r="U294" s="111">
        <v>11.336</v>
      </c>
      <c r="V294" s="99">
        <f t="shared" si="30"/>
        <v>0</v>
      </c>
      <c r="W294" s="99">
        <f t="shared" si="31"/>
        <v>11.336</v>
      </c>
    </row>
    <row r="295" ht="63" customHeight="1" spans="1:23">
      <c r="A295" s="108">
        <v>291</v>
      </c>
      <c r="B295" s="108" t="s">
        <v>700</v>
      </c>
      <c r="C295" s="115" t="s">
        <v>375</v>
      </c>
      <c r="D295" s="115" t="s">
        <v>350</v>
      </c>
      <c r="E295" s="137" t="s">
        <v>351</v>
      </c>
      <c r="F295" s="177">
        <v>1.65</v>
      </c>
      <c r="G295" s="110"/>
      <c r="H295" s="110"/>
      <c r="I295" s="111">
        <v>8924.38705752212</v>
      </c>
      <c r="J295" s="111">
        <v>4700</v>
      </c>
      <c r="K295" s="111">
        <v>2600</v>
      </c>
      <c r="L295" s="111">
        <f t="shared" si="27"/>
        <v>14725.2386449115</v>
      </c>
      <c r="M295" s="111">
        <f t="shared" si="28"/>
        <v>7755</v>
      </c>
      <c r="N295" s="111">
        <f t="shared" si="29"/>
        <v>4290</v>
      </c>
      <c r="O295" s="149"/>
      <c r="P295" s="116" t="s">
        <v>596</v>
      </c>
      <c r="U295" s="111">
        <v>8924.38705752212</v>
      </c>
      <c r="V295" s="99">
        <f t="shared" si="30"/>
        <v>0</v>
      </c>
      <c r="W295" s="99">
        <f t="shared" si="31"/>
        <v>4224.38705752212</v>
      </c>
    </row>
    <row r="296" ht="22" customHeight="1" spans="1:23">
      <c r="A296" s="108">
        <v>292</v>
      </c>
      <c r="B296" s="108" t="s">
        <v>701</v>
      </c>
      <c r="C296" s="115" t="s">
        <v>702</v>
      </c>
      <c r="D296" s="115" t="s">
        <v>350</v>
      </c>
      <c r="E296" s="137" t="s">
        <v>351</v>
      </c>
      <c r="F296" s="177">
        <v>0.2</v>
      </c>
      <c r="G296" s="110"/>
      <c r="H296" s="110"/>
      <c r="I296" s="111">
        <v>8695.7764380531</v>
      </c>
      <c r="J296" s="111">
        <v>4500</v>
      </c>
      <c r="K296" s="111">
        <v>2600</v>
      </c>
      <c r="L296" s="111">
        <f t="shared" si="27"/>
        <v>1739.15528761062</v>
      </c>
      <c r="M296" s="111">
        <f t="shared" si="28"/>
        <v>900</v>
      </c>
      <c r="N296" s="111">
        <f t="shared" si="29"/>
        <v>520</v>
      </c>
      <c r="O296" s="149"/>
      <c r="P296" s="150" t="s">
        <v>79</v>
      </c>
      <c r="U296" s="111">
        <v>8695.7764380531</v>
      </c>
      <c r="V296" s="99">
        <f t="shared" si="30"/>
        <v>0</v>
      </c>
      <c r="W296" s="99">
        <f t="shared" si="31"/>
        <v>4195.7764380531</v>
      </c>
    </row>
    <row r="297" ht="22" customHeight="1" spans="1:23">
      <c r="A297" s="108">
        <v>293</v>
      </c>
      <c r="B297" s="108" t="s">
        <v>703</v>
      </c>
      <c r="C297" s="115" t="s">
        <v>704</v>
      </c>
      <c r="D297" s="182" t="s">
        <v>705</v>
      </c>
      <c r="E297" s="152" t="s">
        <v>468</v>
      </c>
      <c r="F297" s="109">
        <v>30</v>
      </c>
      <c r="G297" s="110"/>
      <c r="H297" s="110"/>
      <c r="I297" s="111">
        <v>53.666342920354</v>
      </c>
      <c r="J297" s="111">
        <v>30</v>
      </c>
      <c r="K297" s="111">
        <v>15</v>
      </c>
      <c r="L297" s="111">
        <f t="shared" si="27"/>
        <v>1609.99028761062</v>
      </c>
      <c r="M297" s="111">
        <f t="shared" si="28"/>
        <v>900</v>
      </c>
      <c r="N297" s="111">
        <f t="shared" si="29"/>
        <v>450</v>
      </c>
      <c r="O297" s="149"/>
      <c r="P297" s="150" t="s">
        <v>79</v>
      </c>
      <c r="U297" s="111">
        <v>53.666342920354</v>
      </c>
      <c r="V297" s="99">
        <f t="shared" si="30"/>
        <v>0</v>
      </c>
      <c r="W297" s="99">
        <f t="shared" si="31"/>
        <v>23.666342920354</v>
      </c>
    </row>
    <row r="298" ht="42" customHeight="1" spans="1:23">
      <c r="A298" s="108">
        <v>294</v>
      </c>
      <c r="B298" s="108" t="s">
        <v>706</v>
      </c>
      <c r="C298" s="115" t="s">
        <v>602</v>
      </c>
      <c r="D298" s="182" t="s">
        <v>603</v>
      </c>
      <c r="E298" s="152" t="s">
        <v>468</v>
      </c>
      <c r="F298" s="109">
        <v>60</v>
      </c>
      <c r="G298" s="110"/>
      <c r="H298" s="110"/>
      <c r="I298" s="111">
        <v>14.6082185840708</v>
      </c>
      <c r="J298" s="111">
        <v>6</v>
      </c>
      <c r="K298" s="111">
        <v>6</v>
      </c>
      <c r="L298" s="111">
        <f t="shared" si="27"/>
        <v>876.493115044248</v>
      </c>
      <c r="M298" s="111">
        <f t="shared" si="28"/>
        <v>360</v>
      </c>
      <c r="N298" s="111">
        <f t="shared" si="29"/>
        <v>360</v>
      </c>
      <c r="O298" s="149"/>
      <c r="P298" s="116" t="s">
        <v>604</v>
      </c>
      <c r="U298" s="111">
        <v>14.6082185840708</v>
      </c>
      <c r="V298" s="99">
        <f t="shared" si="30"/>
        <v>0</v>
      </c>
      <c r="W298" s="99">
        <f t="shared" si="31"/>
        <v>8.6082185840708</v>
      </c>
    </row>
    <row r="299" ht="43" customHeight="1" spans="1:23">
      <c r="A299" s="108">
        <v>295</v>
      </c>
      <c r="B299" s="108" t="s">
        <v>707</v>
      </c>
      <c r="C299" s="134" t="s">
        <v>708</v>
      </c>
      <c r="D299" s="115" t="s">
        <v>350</v>
      </c>
      <c r="E299" s="137" t="s">
        <v>351</v>
      </c>
      <c r="F299" s="177">
        <v>0.3</v>
      </c>
      <c r="G299" s="110"/>
      <c r="H299" s="110"/>
      <c r="I299" s="111">
        <v>7857.34699115044</v>
      </c>
      <c r="J299" s="111">
        <v>3910</v>
      </c>
      <c r="K299" s="111">
        <v>2150</v>
      </c>
      <c r="L299" s="111">
        <f t="shared" si="27"/>
        <v>2357.20409734513</v>
      </c>
      <c r="M299" s="111">
        <f t="shared" si="28"/>
        <v>1173</v>
      </c>
      <c r="N299" s="111">
        <f t="shared" si="29"/>
        <v>645</v>
      </c>
      <c r="O299" s="149"/>
      <c r="P299" s="116" t="s">
        <v>594</v>
      </c>
      <c r="U299" s="111">
        <v>7857.34699115044</v>
      </c>
      <c r="V299" s="99">
        <f t="shared" si="30"/>
        <v>0</v>
      </c>
      <c r="W299" s="99">
        <f t="shared" si="31"/>
        <v>3947.34699115044</v>
      </c>
    </row>
    <row r="300" ht="22" customHeight="1" spans="1:23">
      <c r="A300" s="108">
        <v>296</v>
      </c>
      <c r="B300" s="153">
        <v>10</v>
      </c>
      <c r="C300" s="115" t="s">
        <v>709</v>
      </c>
      <c r="D300" s="115"/>
      <c r="E300" s="137"/>
      <c r="F300" s="108"/>
      <c r="G300" s="110"/>
      <c r="H300" s="110"/>
      <c r="I300" s="111">
        <v>0</v>
      </c>
      <c r="J300" s="111">
        <v>0</v>
      </c>
      <c r="K300" s="111">
        <v>0</v>
      </c>
      <c r="L300" s="111">
        <f>SUM(L301:L319)</f>
        <v>28643.657119469</v>
      </c>
      <c r="M300" s="111">
        <f>SUM(M301:M319)</f>
        <v>200</v>
      </c>
      <c r="N300" s="111">
        <f>SUM(N301:N319)</f>
        <v>20880</v>
      </c>
      <c r="O300" s="149"/>
      <c r="P300" s="116"/>
      <c r="U300" s="111">
        <v>0</v>
      </c>
      <c r="V300" s="99">
        <f t="shared" si="30"/>
        <v>0</v>
      </c>
      <c r="W300" s="99">
        <f t="shared" si="31"/>
        <v>0</v>
      </c>
    </row>
    <row r="301" ht="22" customHeight="1" spans="1:23">
      <c r="A301" s="108">
        <v>297</v>
      </c>
      <c r="B301" s="153">
        <v>10.1</v>
      </c>
      <c r="C301" s="115" t="s">
        <v>710</v>
      </c>
      <c r="D301" s="115"/>
      <c r="E301" s="137"/>
      <c r="F301" s="108"/>
      <c r="G301" s="110"/>
      <c r="H301" s="110"/>
      <c r="I301" s="111">
        <v>0</v>
      </c>
      <c r="J301" s="111">
        <v>0</v>
      </c>
      <c r="K301" s="111">
        <v>0</v>
      </c>
      <c r="L301" s="111">
        <f t="shared" si="27"/>
        <v>0</v>
      </c>
      <c r="M301" s="111">
        <f t="shared" si="28"/>
        <v>0</v>
      </c>
      <c r="N301" s="111">
        <f t="shared" si="29"/>
        <v>0</v>
      </c>
      <c r="O301" s="149"/>
      <c r="P301" s="116"/>
      <c r="U301" s="111">
        <v>0</v>
      </c>
      <c r="V301" s="99">
        <f t="shared" si="30"/>
        <v>0</v>
      </c>
      <c r="W301" s="99">
        <f t="shared" si="31"/>
        <v>0</v>
      </c>
    </row>
    <row r="302" ht="22" customHeight="1" spans="1:23">
      <c r="A302" s="108">
        <v>298</v>
      </c>
      <c r="B302" s="148" t="s">
        <v>711</v>
      </c>
      <c r="C302" s="115" t="s">
        <v>324</v>
      </c>
      <c r="D302" s="115"/>
      <c r="E302" s="137"/>
      <c r="F302" s="108"/>
      <c r="G302" s="110"/>
      <c r="H302" s="110"/>
      <c r="I302" s="111">
        <v>0</v>
      </c>
      <c r="J302" s="111">
        <v>0</v>
      </c>
      <c r="K302" s="111">
        <v>0</v>
      </c>
      <c r="L302" s="111">
        <f t="shared" si="27"/>
        <v>0</v>
      </c>
      <c r="M302" s="111">
        <f t="shared" si="28"/>
        <v>0</v>
      </c>
      <c r="N302" s="111">
        <f t="shared" si="29"/>
        <v>0</v>
      </c>
      <c r="O302" s="149"/>
      <c r="P302" s="116"/>
      <c r="U302" s="111">
        <v>0</v>
      </c>
      <c r="V302" s="99">
        <f t="shared" si="30"/>
        <v>0</v>
      </c>
      <c r="W302" s="99">
        <f t="shared" si="31"/>
        <v>0</v>
      </c>
    </row>
    <row r="303" ht="77" customHeight="1" spans="1:23">
      <c r="A303" s="108">
        <v>299</v>
      </c>
      <c r="B303" s="148" t="s">
        <v>712</v>
      </c>
      <c r="C303" s="115" t="s">
        <v>713</v>
      </c>
      <c r="D303" s="115"/>
      <c r="E303" s="137" t="s">
        <v>336</v>
      </c>
      <c r="F303" s="108">
        <v>1</v>
      </c>
      <c r="G303" s="110"/>
      <c r="H303" s="110"/>
      <c r="I303" s="111">
        <v>1033.32</v>
      </c>
      <c r="J303" s="111">
        <v>0</v>
      </c>
      <c r="K303" s="111">
        <v>800</v>
      </c>
      <c r="L303" s="111">
        <f t="shared" si="27"/>
        <v>1033.32</v>
      </c>
      <c r="M303" s="111">
        <f t="shared" si="28"/>
        <v>0</v>
      </c>
      <c r="N303" s="111">
        <f t="shared" si="29"/>
        <v>800</v>
      </c>
      <c r="O303" s="149"/>
      <c r="P303" s="116" t="s">
        <v>442</v>
      </c>
      <c r="U303" s="111">
        <v>1033.32</v>
      </c>
      <c r="V303" s="99">
        <f t="shared" si="30"/>
        <v>0</v>
      </c>
      <c r="W303" s="99">
        <f t="shared" si="31"/>
        <v>1033.32</v>
      </c>
    </row>
    <row r="304" ht="22" customHeight="1" spans="1:23">
      <c r="A304" s="108">
        <v>300</v>
      </c>
      <c r="B304" s="148" t="s">
        <v>714</v>
      </c>
      <c r="C304" s="115" t="s">
        <v>715</v>
      </c>
      <c r="D304" s="115"/>
      <c r="E304" s="137" t="s">
        <v>336</v>
      </c>
      <c r="F304" s="108">
        <v>4</v>
      </c>
      <c r="G304" s="110"/>
      <c r="H304" s="110"/>
      <c r="I304" s="111">
        <v>1033.32</v>
      </c>
      <c r="J304" s="111">
        <v>0</v>
      </c>
      <c r="K304" s="111">
        <v>800</v>
      </c>
      <c r="L304" s="111">
        <f t="shared" si="27"/>
        <v>4133.28</v>
      </c>
      <c r="M304" s="111">
        <f t="shared" si="28"/>
        <v>0</v>
      </c>
      <c r="N304" s="111">
        <f t="shared" si="29"/>
        <v>3200</v>
      </c>
      <c r="O304" s="149"/>
      <c r="P304" s="116" t="s">
        <v>79</v>
      </c>
      <c r="U304" s="111">
        <v>1033.32</v>
      </c>
      <c r="V304" s="99">
        <f t="shared" si="30"/>
        <v>0</v>
      </c>
      <c r="W304" s="99">
        <f t="shared" si="31"/>
        <v>1033.32</v>
      </c>
    </row>
    <row r="305" ht="22" customHeight="1" spans="1:23">
      <c r="A305" s="108">
        <v>301</v>
      </c>
      <c r="B305" s="148" t="s">
        <v>716</v>
      </c>
      <c r="C305" s="115" t="s">
        <v>717</v>
      </c>
      <c r="D305" s="134" t="s">
        <v>718</v>
      </c>
      <c r="E305" s="137" t="s">
        <v>336</v>
      </c>
      <c r="F305" s="108">
        <v>3</v>
      </c>
      <c r="G305" s="110"/>
      <c r="H305" s="110"/>
      <c r="I305" s="111">
        <v>645.825</v>
      </c>
      <c r="J305" s="111">
        <v>0</v>
      </c>
      <c r="K305" s="111">
        <v>500</v>
      </c>
      <c r="L305" s="111">
        <f t="shared" si="27"/>
        <v>1937.475</v>
      </c>
      <c r="M305" s="111">
        <f t="shared" si="28"/>
        <v>0</v>
      </c>
      <c r="N305" s="111">
        <f t="shared" si="29"/>
        <v>1500</v>
      </c>
      <c r="O305" s="149"/>
      <c r="P305" s="116" t="s">
        <v>79</v>
      </c>
      <c r="U305" s="111">
        <v>645.825</v>
      </c>
      <c r="V305" s="99">
        <f t="shared" si="30"/>
        <v>0</v>
      </c>
      <c r="W305" s="99">
        <f t="shared" si="31"/>
        <v>645.825</v>
      </c>
    </row>
    <row r="306" ht="22" customHeight="1" spans="1:23">
      <c r="A306" s="108">
        <v>302</v>
      </c>
      <c r="B306" s="148" t="s">
        <v>719</v>
      </c>
      <c r="C306" s="115" t="s">
        <v>720</v>
      </c>
      <c r="D306" s="115" t="s">
        <v>721</v>
      </c>
      <c r="E306" s="137" t="s">
        <v>336</v>
      </c>
      <c r="F306" s="108">
        <v>1</v>
      </c>
      <c r="G306" s="110"/>
      <c r="H306" s="110"/>
      <c r="I306" s="111">
        <v>645.825</v>
      </c>
      <c r="J306" s="111">
        <v>0</v>
      </c>
      <c r="K306" s="111">
        <v>500</v>
      </c>
      <c r="L306" s="111">
        <f t="shared" si="27"/>
        <v>645.825</v>
      </c>
      <c r="M306" s="111">
        <f t="shared" si="28"/>
        <v>0</v>
      </c>
      <c r="N306" s="111">
        <f t="shared" si="29"/>
        <v>500</v>
      </c>
      <c r="O306" s="149"/>
      <c r="P306" s="116" t="s">
        <v>79</v>
      </c>
      <c r="U306" s="111">
        <v>645.825</v>
      </c>
      <c r="V306" s="99">
        <f t="shared" si="30"/>
        <v>0</v>
      </c>
      <c r="W306" s="99">
        <f t="shared" si="31"/>
        <v>645.825</v>
      </c>
    </row>
    <row r="307" ht="22" customHeight="1" spans="1:23">
      <c r="A307" s="108">
        <v>303</v>
      </c>
      <c r="B307" s="148" t="s">
        <v>722</v>
      </c>
      <c r="C307" s="115" t="s">
        <v>723</v>
      </c>
      <c r="D307" s="115"/>
      <c r="E307" s="137" t="s">
        <v>336</v>
      </c>
      <c r="F307" s="108">
        <v>1</v>
      </c>
      <c r="G307" s="110"/>
      <c r="H307" s="110"/>
      <c r="I307" s="111">
        <v>645.825</v>
      </c>
      <c r="J307" s="111">
        <v>0</v>
      </c>
      <c r="K307" s="111">
        <v>500</v>
      </c>
      <c r="L307" s="111">
        <f t="shared" si="27"/>
        <v>645.825</v>
      </c>
      <c r="M307" s="111">
        <f t="shared" si="28"/>
        <v>0</v>
      </c>
      <c r="N307" s="111">
        <f t="shared" si="29"/>
        <v>500</v>
      </c>
      <c r="O307" s="149"/>
      <c r="P307" s="116" t="s">
        <v>79</v>
      </c>
      <c r="U307" s="111">
        <v>645.825</v>
      </c>
      <c r="V307" s="99">
        <f t="shared" si="30"/>
        <v>0</v>
      </c>
      <c r="W307" s="99">
        <f t="shared" si="31"/>
        <v>645.825</v>
      </c>
    </row>
    <row r="308" ht="22" customHeight="1" spans="1:23">
      <c r="A308" s="108">
        <v>304</v>
      </c>
      <c r="B308" s="148" t="s">
        <v>724</v>
      </c>
      <c r="C308" s="115" t="s">
        <v>723</v>
      </c>
      <c r="D308" s="115"/>
      <c r="E308" s="137" t="s">
        <v>336</v>
      </c>
      <c r="F308" s="108">
        <v>1</v>
      </c>
      <c r="G308" s="110"/>
      <c r="H308" s="110"/>
      <c r="I308" s="111">
        <v>645.825</v>
      </c>
      <c r="J308" s="111">
        <v>0</v>
      </c>
      <c r="K308" s="111">
        <v>500</v>
      </c>
      <c r="L308" s="111">
        <f t="shared" si="27"/>
        <v>645.825</v>
      </c>
      <c r="M308" s="111">
        <f t="shared" si="28"/>
        <v>0</v>
      </c>
      <c r="N308" s="111">
        <f t="shared" si="29"/>
        <v>500</v>
      </c>
      <c r="O308" s="149"/>
      <c r="P308" s="116" t="s">
        <v>79</v>
      </c>
      <c r="U308" s="111">
        <v>645.825</v>
      </c>
      <c r="V308" s="99">
        <f t="shared" si="30"/>
        <v>0</v>
      </c>
      <c r="W308" s="99">
        <f t="shared" si="31"/>
        <v>645.825</v>
      </c>
    </row>
    <row r="309" ht="22" customHeight="1" spans="1:23">
      <c r="A309" s="108">
        <v>305</v>
      </c>
      <c r="B309" s="148" t="s">
        <v>725</v>
      </c>
      <c r="C309" s="115" t="s">
        <v>450</v>
      </c>
      <c r="D309" s="115"/>
      <c r="E309" s="108" t="s">
        <v>301</v>
      </c>
      <c r="F309" s="108">
        <v>1</v>
      </c>
      <c r="G309" s="110"/>
      <c r="H309" s="110"/>
      <c r="I309" s="111">
        <v>645.825</v>
      </c>
      <c r="J309" s="111">
        <v>0</v>
      </c>
      <c r="K309" s="111">
        <v>500</v>
      </c>
      <c r="L309" s="111">
        <f t="shared" si="27"/>
        <v>645.825</v>
      </c>
      <c r="M309" s="111">
        <f t="shared" si="28"/>
        <v>0</v>
      </c>
      <c r="N309" s="111">
        <f t="shared" si="29"/>
        <v>500</v>
      </c>
      <c r="O309" s="149"/>
      <c r="P309" s="116" t="s">
        <v>79</v>
      </c>
      <c r="U309" s="111">
        <v>645.825</v>
      </c>
      <c r="V309" s="99">
        <f t="shared" si="30"/>
        <v>0</v>
      </c>
      <c r="W309" s="99">
        <f t="shared" si="31"/>
        <v>645.825</v>
      </c>
    </row>
    <row r="310" ht="22" customHeight="1" spans="1:23">
      <c r="A310" s="108">
        <v>306</v>
      </c>
      <c r="B310" s="148" t="s">
        <v>726</v>
      </c>
      <c r="C310" s="115" t="s">
        <v>727</v>
      </c>
      <c r="D310" s="134" t="s">
        <v>728</v>
      </c>
      <c r="E310" s="108" t="s">
        <v>336</v>
      </c>
      <c r="F310" s="108">
        <v>1</v>
      </c>
      <c r="G310" s="110"/>
      <c r="H310" s="110"/>
      <c r="I310" s="111">
        <v>645.825</v>
      </c>
      <c r="J310" s="111">
        <v>0</v>
      </c>
      <c r="K310" s="111">
        <v>500</v>
      </c>
      <c r="L310" s="111">
        <f t="shared" si="27"/>
        <v>645.825</v>
      </c>
      <c r="M310" s="111">
        <f t="shared" si="28"/>
        <v>0</v>
      </c>
      <c r="N310" s="111">
        <f t="shared" si="29"/>
        <v>500</v>
      </c>
      <c r="O310" s="149"/>
      <c r="P310" s="116" t="s">
        <v>79</v>
      </c>
      <c r="U310" s="111">
        <v>645.825</v>
      </c>
      <c r="V310" s="99">
        <f t="shared" si="30"/>
        <v>0</v>
      </c>
      <c r="W310" s="99">
        <f t="shared" si="31"/>
        <v>645.825</v>
      </c>
    </row>
    <row r="311" ht="22" customHeight="1" spans="1:23">
      <c r="A311" s="108">
        <v>307</v>
      </c>
      <c r="B311" s="148" t="s">
        <v>729</v>
      </c>
      <c r="C311" s="115" t="s">
        <v>727</v>
      </c>
      <c r="D311" s="134" t="s">
        <v>730</v>
      </c>
      <c r="E311" s="108" t="s">
        <v>336</v>
      </c>
      <c r="F311" s="108">
        <v>1</v>
      </c>
      <c r="G311" s="110"/>
      <c r="H311" s="110"/>
      <c r="I311" s="111">
        <v>645.825</v>
      </c>
      <c r="J311" s="111">
        <v>0</v>
      </c>
      <c r="K311" s="111">
        <v>500</v>
      </c>
      <c r="L311" s="111">
        <f t="shared" si="27"/>
        <v>645.825</v>
      </c>
      <c r="M311" s="111">
        <f t="shared" si="28"/>
        <v>0</v>
      </c>
      <c r="N311" s="111">
        <f t="shared" si="29"/>
        <v>500</v>
      </c>
      <c r="O311" s="149"/>
      <c r="P311" s="116" t="s">
        <v>79</v>
      </c>
      <c r="U311" s="111">
        <v>645.825</v>
      </c>
      <c r="V311" s="99">
        <f t="shared" si="30"/>
        <v>0</v>
      </c>
      <c r="W311" s="99">
        <f t="shared" si="31"/>
        <v>645.825</v>
      </c>
    </row>
    <row r="312" ht="22" customHeight="1" spans="1:23">
      <c r="A312" s="108">
        <v>308</v>
      </c>
      <c r="B312" s="148" t="s">
        <v>731</v>
      </c>
      <c r="C312" s="115" t="s">
        <v>732</v>
      </c>
      <c r="D312" s="134" t="s">
        <v>733</v>
      </c>
      <c r="E312" s="108" t="s">
        <v>301</v>
      </c>
      <c r="F312" s="108">
        <v>1</v>
      </c>
      <c r="G312" s="110"/>
      <c r="H312" s="110"/>
      <c r="I312" s="111">
        <v>387.495</v>
      </c>
      <c r="J312" s="111">
        <v>0</v>
      </c>
      <c r="K312" s="111">
        <v>300</v>
      </c>
      <c r="L312" s="111">
        <f t="shared" si="27"/>
        <v>387.495</v>
      </c>
      <c r="M312" s="111">
        <f t="shared" si="28"/>
        <v>0</v>
      </c>
      <c r="N312" s="111">
        <f t="shared" si="29"/>
        <v>300</v>
      </c>
      <c r="O312" s="150"/>
      <c r="P312" s="116" t="s">
        <v>79</v>
      </c>
      <c r="U312" s="111">
        <v>387.495</v>
      </c>
      <c r="V312" s="99">
        <f t="shared" si="30"/>
        <v>0</v>
      </c>
      <c r="W312" s="99">
        <f t="shared" si="31"/>
        <v>387.495</v>
      </c>
    </row>
    <row r="313" ht="22" customHeight="1" spans="1:23">
      <c r="A313" s="108">
        <v>309</v>
      </c>
      <c r="B313" s="153">
        <v>10.2</v>
      </c>
      <c r="C313" s="138" t="s">
        <v>316</v>
      </c>
      <c r="D313" s="115"/>
      <c r="E313" s="137"/>
      <c r="F313" s="108"/>
      <c r="G313" s="110"/>
      <c r="H313" s="110"/>
      <c r="I313" s="111">
        <v>0</v>
      </c>
      <c r="J313" s="111">
        <v>0</v>
      </c>
      <c r="K313" s="111">
        <v>0</v>
      </c>
      <c r="L313" s="111">
        <f t="shared" si="27"/>
        <v>0</v>
      </c>
      <c r="M313" s="111">
        <f t="shared" si="28"/>
        <v>0</v>
      </c>
      <c r="N313" s="111">
        <f t="shared" si="29"/>
        <v>0</v>
      </c>
      <c r="O313" s="150"/>
      <c r="P313" s="116"/>
      <c r="U313" s="111">
        <v>0</v>
      </c>
      <c r="V313" s="99">
        <f t="shared" si="30"/>
        <v>0</v>
      </c>
      <c r="W313" s="99">
        <f t="shared" si="31"/>
        <v>0</v>
      </c>
    </row>
    <row r="314" ht="31" customHeight="1" spans="1:23">
      <c r="A314" s="108">
        <v>310</v>
      </c>
      <c r="B314" s="148" t="s">
        <v>734</v>
      </c>
      <c r="C314" s="115" t="s">
        <v>598</v>
      </c>
      <c r="D314" s="115" t="s">
        <v>735</v>
      </c>
      <c r="E314" s="152" t="s">
        <v>468</v>
      </c>
      <c r="F314" s="108">
        <v>10</v>
      </c>
      <c r="G314" s="110"/>
      <c r="H314" s="110"/>
      <c r="I314" s="111">
        <v>21.6608561946903</v>
      </c>
      <c r="J314" s="111">
        <v>2</v>
      </c>
      <c r="K314" s="111">
        <v>15</v>
      </c>
      <c r="L314" s="111">
        <f t="shared" si="27"/>
        <v>216.608561946903</v>
      </c>
      <c r="M314" s="111">
        <f t="shared" si="28"/>
        <v>20</v>
      </c>
      <c r="N314" s="111">
        <f t="shared" si="29"/>
        <v>150</v>
      </c>
      <c r="O314" s="150"/>
      <c r="P314" s="116" t="s">
        <v>98</v>
      </c>
      <c r="U314" s="111">
        <v>21.6608561946903</v>
      </c>
      <c r="V314" s="99">
        <f t="shared" si="30"/>
        <v>0</v>
      </c>
      <c r="W314" s="99">
        <f t="shared" si="31"/>
        <v>19.6608561946903</v>
      </c>
    </row>
    <row r="315" ht="22" customHeight="1" spans="1:23">
      <c r="A315" s="108">
        <v>311</v>
      </c>
      <c r="B315" s="148" t="s">
        <v>736</v>
      </c>
      <c r="C315" s="115" t="s">
        <v>737</v>
      </c>
      <c r="D315" s="115" t="s">
        <v>738</v>
      </c>
      <c r="E315" s="152" t="s">
        <v>468</v>
      </c>
      <c r="F315" s="108">
        <v>30</v>
      </c>
      <c r="G315" s="110"/>
      <c r="H315" s="110"/>
      <c r="I315" s="111">
        <v>26.2330685840708</v>
      </c>
      <c r="J315" s="111">
        <v>6</v>
      </c>
      <c r="K315" s="111">
        <v>15</v>
      </c>
      <c r="L315" s="111">
        <f t="shared" si="27"/>
        <v>786.992057522124</v>
      </c>
      <c r="M315" s="111">
        <f t="shared" si="28"/>
        <v>180</v>
      </c>
      <c r="N315" s="111">
        <f t="shared" si="29"/>
        <v>450</v>
      </c>
      <c r="O315" s="150"/>
      <c r="P315" s="116" t="s">
        <v>79</v>
      </c>
      <c r="U315" s="111">
        <v>26.2330685840708</v>
      </c>
      <c r="V315" s="99">
        <f t="shared" si="30"/>
        <v>0</v>
      </c>
      <c r="W315" s="99">
        <f t="shared" si="31"/>
        <v>20.2330685840708</v>
      </c>
    </row>
    <row r="316" ht="71" customHeight="1" spans="1:23">
      <c r="A316" s="108">
        <v>312</v>
      </c>
      <c r="B316" s="148" t="s">
        <v>739</v>
      </c>
      <c r="C316" s="115" t="s">
        <v>740</v>
      </c>
      <c r="D316" s="115" t="s">
        <v>741</v>
      </c>
      <c r="E316" s="152" t="s">
        <v>468</v>
      </c>
      <c r="F316" s="108">
        <v>30</v>
      </c>
      <c r="G316" s="110"/>
      <c r="H316" s="110"/>
      <c r="I316" s="111">
        <v>5.88055</v>
      </c>
      <c r="J316" s="111"/>
      <c r="K316" s="111">
        <v>4</v>
      </c>
      <c r="L316" s="111">
        <f t="shared" si="27"/>
        <v>176.4165</v>
      </c>
      <c r="M316" s="111">
        <f t="shared" si="28"/>
        <v>0</v>
      </c>
      <c r="N316" s="111">
        <f t="shared" si="29"/>
        <v>120</v>
      </c>
      <c r="O316" s="150"/>
      <c r="P316" s="126" t="s">
        <v>629</v>
      </c>
      <c r="U316" s="111">
        <v>5.88055</v>
      </c>
      <c r="V316" s="99">
        <f t="shared" si="30"/>
        <v>0</v>
      </c>
      <c r="W316" s="99">
        <f t="shared" si="31"/>
        <v>5.88055</v>
      </c>
    </row>
    <row r="317" ht="22" customHeight="1" spans="1:23">
      <c r="A317" s="108">
        <v>313</v>
      </c>
      <c r="B317" s="148" t="s">
        <v>742</v>
      </c>
      <c r="C317" s="134" t="s">
        <v>743</v>
      </c>
      <c r="D317" s="134" t="s">
        <v>744</v>
      </c>
      <c r="E317" s="152" t="s">
        <v>468</v>
      </c>
      <c r="F317" s="108">
        <v>300</v>
      </c>
      <c r="G317" s="110"/>
      <c r="H317" s="110"/>
      <c r="I317" s="111">
        <v>5.668</v>
      </c>
      <c r="J317" s="111">
        <v>0</v>
      </c>
      <c r="K317" s="111">
        <v>4</v>
      </c>
      <c r="L317" s="111">
        <f t="shared" si="27"/>
        <v>1700.4</v>
      </c>
      <c r="M317" s="111">
        <f t="shared" si="28"/>
        <v>0</v>
      </c>
      <c r="N317" s="111">
        <f t="shared" si="29"/>
        <v>1200</v>
      </c>
      <c r="O317" s="149"/>
      <c r="P317" s="116" t="s">
        <v>79</v>
      </c>
      <c r="U317" s="111">
        <v>5.668</v>
      </c>
      <c r="V317" s="99">
        <f t="shared" si="30"/>
        <v>0</v>
      </c>
      <c r="W317" s="99">
        <f t="shared" si="31"/>
        <v>5.668</v>
      </c>
    </row>
    <row r="318" ht="22" customHeight="1" spans="1:23">
      <c r="A318" s="108">
        <v>314</v>
      </c>
      <c r="B318" s="148" t="s">
        <v>745</v>
      </c>
      <c r="C318" s="134" t="s">
        <v>746</v>
      </c>
      <c r="D318" s="115" t="s">
        <v>747</v>
      </c>
      <c r="E318" s="152" t="s">
        <v>468</v>
      </c>
      <c r="F318" s="108">
        <v>2000</v>
      </c>
      <c r="G318" s="110"/>
      <c r="H318" s="110"/>
      <c r="I318" s="111">
        <v>7.085</v>
      </c>
      <c r="J318" s="111">
        <v>0</v>
      </c>
      <c r="K318" s="111">
        <v>5</v>
      </c>
      <c r="L318" s="111">
        <f t="shared" si="27"/>
        <v>14170</v>
      </c>
      <c r="M318" s="111">
        <f t="shared" si="28"/>
        <v>0</v>
      </c>
      <c r="N318" s="111">
        <f t="shared" si="29"/>
        <v>10000</v>
      </c>
      <c r="O318" s="149"/>
      <c r="P318" s="116" t="s">
        <v>79</v>
      </c>
      <c r="U318" s="111">
        <v>7.085</v>
      </c>
      <c r="V318" s="99">
        <f t="shared" si="30"/>
        <v>0</v>
      </c>
      <c r="W318" s="99">
        <f t="shared" si="31"/>
        <v>7.085</v>
      </c>
    </row>
    <row r="319" ht="22" customHeight="1" spans="1:23">
      <c r="A319" s="108">
        <v>315</v>
      </c>
      <c r="B319" s="148" t="s">
        <v>748</v>
      </c>
      <c r="C319" s="134" t="s">
        <v>749</v>
      </c>
      <c r="D319" s="115" t="s">
        <v>750</v>
      </c>
      <c r="E319" s="108" t="s">
        <v>751</v>
      </c>
      <c r="F319" s="108">
        <v>16</v>
      </c>
      <c r="G319" s="110"/>
      <c r="H319" s="110"/>
      <c r="I319" s="111">
        <v>14.17</v>
      </c>
      <c r="J319" s="111">
        <v>0</v>
      </c>
      <c r="K319" s="111">
        <v>10</v>
      </c>
      <c r="L319" s="111">
        <f t="shared" si="27"/>
        <v>226.72</v>
      </c>
      <c r="M319" s="111">
        <f t="shared" si="28"/>
        <v>0</v>
      </c>
      <c r="N319" s="111">
        <f t="shared" si="29"/>
        <v>160</v>
      </c>
      <c r="O319" s="149"/>
      <c r="P319" s="116" t="s">
        <v>79</v>
      </c>
      <c r="U319" s="111">
        <v>14.17</v>
      </c>
      <c r="V319" s="99">
        <f t="shared" si="30"/>
        <v>0</v>
      </c>
      <c r="W319" s="99">
        <f t="shared" si="31"/>
        <v>14.17</v>
      </c>
    </row>
    <row r="320" ht="22" customHeight="1" spans="1:23">
      <c r="A320" s="108">
        <v>316</v>
      </c>
      <c r="B320" s="108">
        <v>11</v>
      </c>
      <c r="C320" s="138" t="s">
        <v>752</v>
      </c>
      <c r="D320" s="115"/>
      <c r="E320" s="108"/>
      <c r="F320" s="108"/>
      <c r="G320" s="110"/>
      <c r="H320" s="110"/>
      <c r="I320" s="111">
        <v>0</v>
      </c>
      <c r="J320" s="111">
        <v>0</v>
      </c>
      <c r="K320" s="111">
        <v>0</v>
      </c>
      <c r="L320" s="111">
        <f>SUM(L321:L337)</f>
        <v>30869.7542443584</v>
      </c>
      <c r="M320" s="111">
        <f>SUM(M321:M337)</f>
        <v>6317.3</v>
      </c>
      <c r="N320" s="111">
        <f>SUM(N321:N337)</f>
        <v>17573.4</v>
      </c>
      <c r="O320" s="150"/>
      <c r="P320" s="116"/>
      <c r="U320" s="111">
        <v>0</v>
      </c>
      <c r="V320" s="99">
        <f t="shared" si="30"/>
        <v>0</v>
      </c>
      <c r="W320" s="99">
        <f t="shared" si="31"/>
        <v>0</v>
      </c>
    </row>
    <row r="321" ht="22" customHeight="1" spans="1:23">
      <c r="A321" s="108">
        <v>317</v>
      </c>
      <c r="B321" s="148" t="s">
        <v>753</v>
      </c>
      <c r="C321" s="115" t="s">
        <v>324</v>
      </c>
      <c r="D321" s="115"/>
      <c r="E321" s="108"/>
      <c r="F321" s="108"/>
      <c r="G321" s="110"/>
      <c r="H321" s="110"/>
      <c r="I321" s="111">
        <v>0</v>
      </c>
      <c r="J321" s="111">
        <v>0</v>
      </c>
      <c r="K321" s="111">
        <v>0</v>
      </c>
      <c r="L321" s="111">
        <f t="shared" si="27"/>
        <v>0</v>
      </c>
      <c r="M321" s="111">
        <f t="shared" si="28"/>
        <v>0</v>
      </c>
      <c r="N321" s="111">
        <f t="shared" si="29"/>
        <v>0</v>
      </c>
      <c r="O321" s="150"/>
      <c r="P321" s="116"/>
      <c r="U321" s="111">
        <v>0</v>
      </c>
      <c r="V321" s="99">
        <f t="shared" si="30"/>
        <v>0</v>
      </c>
      <c r="W321" s="99">
        <f t="shared" si="31"/>
        <v>0</v>
      </c>
    </row>
    <row r="322" ht="78" customHeight="1" spans="1:23">
      <c r="A322" s="108">
        <v>318</v>
      </c>
      <c r="B322" s="148" t="s">
        <v>754</v>
      </c>
      <c r="C322" s="115" t="s">
        <v>755</v>
      </c>
      <c r="D322" s="134" t="s">
        <v>756</v>
      </c>
      <c r="E322" s="108" t="s">
        <v>336</v>
      </c>
      <c r="F322" s="108">
        <v>1</v>
      </c>
      <c r="G322" s="110"/>
      <c r="H322" s="110"/>
      <c r="I322" s="111">
        <v>645.825</v>
      </c>
      <c r="J322" s="111">
        <v>0</v>
      </c>
      <c r="K322" s="111">
        <v>500</v>
      </c>
      <c r="L322" s="111">
        <f t="shared" si="27"/>
        <v>645.825</v>
      </c>
      <c r="M322" s="111">
        <f t="shared" si="28"/>
        <v>0</v>
      </c>
      <c r="N322" s="111">
        <f t="shared" si="29"/>
        <v>500</v>
      </c>
      <c r="O322" s="150"/>
      <c r="P322" s="116" t="s">
        <v>442</v>
      </c>
      <c r="U322" s="111">
        <v>645.825</v>
      </c>
      <c r="V322" s="99">
        <f t="shared" si="30"/>
        <v>0</v>
      </c>
      <c r="W322" s="99">
        <f t="shared" si="31"/>
        <v>645.825</v>
      </c>
    </row>
    <row r="323" ht="33" customHeight="1" spans="1:23">
      <c r="A323" s="108">
        <v>319</v>
      </c>
      <c r="B323" s="148" t="s">
        <v>757</v>
      </c>
      <c r="C323" s="115" t="s">
        <v>758</v>
      </c>
      <c r="D323" s="134" t="s">
        <v>756</v>
      </c>
      <c r="E323" s="108" t="s">
        <v>336</v>
      </c>
      <c r="F323" s="108">
        <v>1</v>
      </c>
      <c r="G323" s="110"/>
      <c r="H323" s="110"/>
      <c r="I323" s="111">
        <v>645.825</v>
      </c>
      <c r="J323" s="111">
        <v>0</v>
      </c>
      <c r="K323" s="111">
        <v>500</v>
      </c>
      <c r="L323" s="111">
        <f t="shared" si="27"/>
        <v>645.825</v>
      </c>
      <c r="M323" s="111">
        <f t="shared" si="28"/>
        <v>0</v>
      </c>
      <c r="N323" s="111">
        <f t="shared" si="29"/>
        <v>500</v>
      </c>
      <c r="O323" s="150"/>
      <c r="P323" s="116" t="s">
        <v>79</v>
      </c>
      <c r="U323" s="111">
        <v>645.825</v>
      </c>
      <c r="V323" s="99">
        <f t="shared" si="30"/>
        <v>0</v>
      </c>
      <c r="W323" s="99">
        <f t="shared" si="31"/>
        <v>645.825</v>
      </c>
    </row>
    <row r="324" ht="33" customHeight="1" spans="1:23">
      <c r="A324" s="108">
        <v>320</v>
      </c>
      <c r="B324" s="148" t="s">
        <v>759</v>
      </c>
      <c r="C324" s="115" t="s">
        <v>760</v>
      </c>
      <c r="D324" s="134" t="s">
        <v>756</v>
      </c>
      <c r="E324" s="108" t="s">
        <v>336</v>
      </c>
      <c r="F324" s="108">
        <v>1</v>
      </c>
      <c r="G324" s="110"/>
      <c r="H324" s="110"/>
      <c r="I324" s="111">
        <v>645.825</v>
      </c>
      <c r="J324" s="111">
        <v>0</v>
      </c>
      <c r="K324" s="111">
        <v>500</v>
      </c>
      <c r="L324" s="111">
        <f t="shared" si="27"/>
        <v>645.825</v>
      </c>
      <c r="M324" s="111">
        <f t="shared" si="28"/>
        <v>0</v>
      </c>
      <c r="N324" s="111">
        <f t="shared" si="29"/>
        <v>500</v>
      </c>
      <c r="O324" s="150"/>
      <c r="P324" s="116" t="s">
        <v>79</v>
      </c>
      <c r="U324" s="111">
        <v>645.825</v>
      </c>
      <c r="V324" s="99">
        <f t="shared" si="30"/>
        <v>0</v>
      </c>
      <c r="W324" s="99">
        <f t="shared" si="31"/>
        <v>645.825</v>
      </c>
    </row>
    <row r="325" ht="22" customHeight="1" spans="1:23">
      <c r="A325" s="108">
        <v>321</v>
      </c>
      <c r="B325" s="148" t="s">
        <v>761</v>
      </c>
      <c r="C325" s="115" t="s">
        <v>762</v>
      </c>
      <c r="D325" s="115"/>
      <c r="E325" s="108" t="s">
        <v>336</v>
      </c>
      <c r="F325" s="108">
        <v>1</v>
      </c>
      <c r="G325" s="110"/>
      <c r="H325" s="110"/>
      <c r="I325" s="111">
        <v>645.825</v>
      </c>
      <c r="J325" s="111">
        <v>0</v>
      </c>
      <c r="K325" s="111">
        <v>500</v>
      </c>
      <c r="L325" s="111">
        <f t="shared" si="27"/>
        <v>645.825</v>
      </c>
      <c r="M325" s="111">
        <f t="shared" si="28"/>
        <v>0</v>
      </c>
      <c r="N325" s="111">
        <f t="shared" si="29"/>
        <v>500</v>
      </c>
      <c r="O325" s="150"/>
      <c r="P325" s="116" t="s">
        <v>79</v>
      </c>
      <c r="U325" s="111">
        <v>645.825</v>
      </c>
      <c r="V325" s="99">
        <f t="shared" si="30"/>
        <v>0</v>
      </c>
      <c r="W325" s="99">
        <f t="shared" si="31"/>
        <v>645.825</v>
      </c>
    </row>
    <row r="326" ht="31" customHeight="1" spans="1:23">
      <c r="A326" s="108">
        <v>322</v>
      </c>
      <c r="B326" s="148" t="s">
        <v>763</v>
      </c>
      <c r="C326" s="115" t="s">
        <v>764</v>
      </c>
      <c r="D326" s="115" t="s">
        <v>765</v>
      </c>
      <c r="E326" s="108" t="s">
        <v>336</v>
      </c>
      <c r="F326" s="108">
        <v>1</v>
      </c>
      <c r="G326" s="110"/>
      <c r="H326" s="110"/>
      <c r="I326" s="111">
        <v>645.825</v>
      </c>
      <c r="J326" s="111">
        <v>0</v>
      </c>
      <c r="K326" s="111">
        <v>500</v>
      </c>
      <c r="L326" s="111">
        <f t="shared" si="27"/>
        <v>645.825</v>
      </c>
      <c r="M326" s="111">
        <f t="shared" si="28"/>
        <v>0</v>
      </c>
      <c r="N326" s="111">
        <f t="shared" si="29"/>
        <v>500</v>
      </c>
      <c r="O326" s="150"/>
      <c r="P326" s="116" t="s">
        <v>79</v>
      </c>
      <c r="U326" s="111">
        <v>645.825</v>
      </c>
      <c r="V326" s="99">
        <f t="shared" si="30"/>
        <v>0</v>
      </c>
      <c r="W326" s="99">
        <f t="shared" si="31"/>
        <v>645.825</v>
      </c>
    </row>
    <row r="327" ht="22" customHeight="1" spans="1:23">
      <c r="A327" s="108">
        <v>323</v>
      </c>
      <c r="B327" s="148" t="s">
        <v>766</v>
      </c>
      <c r="C327" s="115" t="s">
        <v>767</v>
      </c>
      <c r="D327" s="115"/>
      <c r="E327" s="108" t="s">
        <v>336</v>
      </c>
      <c r="F327" s="108">
        <v>3</v>
      </c>
      <c r="G327" s="110"/>
      <c r="H327" s="110"/>
      <c r="I327" s="111">
        <v>645.825</v>
      </c>
      <c r="J327" s="111">
        <v>0</v>
      </c>
      <c r="K327" s="111">
        <v>500</v>
      </c>
      <c r="L327" s="111">
        <f t="shared" ref="L327:L390" si="32">F327*I327</f>
        <v>1937.475</v>
      </c>
      <c r="M327" s="111">
        <f t="shared" ref="M327:M390" si="33">F327*J327</f>
        <v>0</v>
      </c>
      <c r="N327" s="111">
        <f t="shared" ref="N327:N390" si="34">F327*K327</f>
        <v>1500</v>
      </c>
      <c r="O327" s="150"/>
      <c r="P327" s="116" t="s">
        <v>79</v>
      </c>
      <c r="U327" s="111">
        <v>645.825</v>
      </c>
      <c r="V327" s="99">
        <f t="shared" ref="V327:V390" si="35">I327-U327</f>
        <v>0</v>
      </c>
      <c r="W327" s="99">
        <f t="shared" ref="W327:W390" si="36">I327-J327</f>
        <v>645.825</v>
      </c>
    </row>
    <row r="328" ht="22" customHeight="1" spans="1:23">
      <c r="A328" s="108">
        <v>324</v>
      </c>
      <c r="B328" s="148" t="s">
        <v>768</v>
      </c>
      <c r="C328" s="115" t="s">
        <v>769</v>
      </c>
      <c r="D328" s="115"/>
      <c r="E328" s="108" t="s">
        <v>336</v>
      </c>
      <c r="F328" s="108">
        <v>3</v>
      </c>
      <c r="G328" s="110"/>
      <c r="H328" s="110"/>
      <c r="I328" s="111">
        <v>645.825</v>
      </c>
      <c r="J328" s="111">
        <v>0</v>
      </c>
      <c r="K328" s="111">
        <v>500</v>
      </c>
      <c r="L328" s="111">
        <f t="shared" si="32"/>
        <v>1937.475</v>
      </c>
      <c r="M328" s="111">
        <f t="shared" si="33"/>
        <v>0</v>
      </c>
      <c r="N328" s="111">
        <f t="shared" si="34"/>
        <v>1500</v>
      </c>
      <c r="O328" s="150"/>
      <c r="P328" s="116" t="s">
        <v>79</v>
      </c>
      <c r="U328" s="111">
        <v>645.825</v>
      </c>
      <c r="V328" s="99">
        <f t="shared" si="35"/>
        <v>0</v>
      </c>
      <c r="W328" s="99">
        <f t="shared" si="36"/>
        <v>645.825</v>
      </c>
    </row>
    <row r="329" ht="22" customHeight="1" spans="1:23">
      <c r="A329" s="108">
        <v>325</v>
      </c>
      <c r="B329" s="148" t="s">
        <v>770</v>
      </c>
      <c r="C329" s="115" t="s">
        <v>771</v>
      </c>
      <c r="D329" s="115"/>
      <c r="E329" s="108" t="s">
        <v>336</v>
      </c>
      <c r="F329" s="108">
        <v>1</v>
      </c>
      <c r="G329" s="110"/>
      <c r="H329" s="110"/>
      <c r="I329" s="111">
        <v>645.825</v>
      </c>
      <c r="J329" s="111">
        <v>0</v>
      </c>
      <c r="K329" s="111">
        <v>500</v>
      </c>
      <c r="L329" s="111">
        <f t="shared" si="32"/>
        <v>645.825</v>
      </c>
      <c r="M329" s="111">
        <f t="shared" si="33"/>
        <v>0</v>
      </c>
      <c r="N329" s="111">
        <f t="shared" si="34"/>
        <v>500</v>
      </c>
      <c r="O329" s="150"/>
      <c r="P329" s="116" t="s">
        <v>79</v>
      </c>
      <c r="U329" s="111">
        <v>645.825</v>
      </c>
      <c r="V329" s="99">
        <f t="shared" si="35"/>
        <v>0</v>
      </c>
      <c r="W329" s="99">
        <f t="shared" si="36"/>
        <v>645.825</v>
      </c>
    </row>
    <row r="330" ht="22" customHeight="1" spans="1:23">
      <c r="A330" s="108">
        <v>326</v>
      </c>
      <c r="B330" s="108">
        <v>11.2</v>
      </c>
      <c r="C330" s="138" t="s">
        <v>316</v>
      </c>
      <c r="D330" s="115"/>
      <c r="E330" s="108"/>
      <c r="F330" s="108"/>
      <c r="G330" s="110"/>
      <c r="H330" s="110"/>
      <c r="I330" s="111">
        <v>0</v>
      </c>
      <c r="J330" s="111">
        <v>0</v>
      </c>
      <c r="K330" s="111">
        <v>0</v>
      </c>
      <c r="L330" s="111">
        <f t="shared" si="32"/>
        <v>0</v>
      </c>
      <c r="M330" s="111">
        <f t="shared" si="33"/>
        <v>0</v>
      </c>
      <c r="N330" s="111">
        <f t="shared" si="34"/>
        <v>0</v>
      </c>
      <c r="O330" s="150"/>
      <c r="P330" s="116"/>
      <c r="U330" s="111">
        <v>0</v>
      </c>
      <c r="V330" s="99">
        <f t="shared" si="35"/>
        <v>0</v>
      </c>
      <c r="W330" s="99">
        <f t="shared" si="36"/>
        <v>0</v>
      </c>
    </row>
    <row r="331" ht="60" customHeight="1" spans="1:23">
      <c r="A331" s="108">
        <v>327</v>
      </c>
      <c r="B331" s="108" t="s">
        <v>772</v>
      </c>
      <c r="C331" s="138" t="s">
        <v>773</v>
      </c>
      <c r="D331" s="115" t="s">
        <v>774</v>
      </c>
      <c r="E331" s="152" t="s">
        <v>468</v>
      </c>
      <c r="F331" s="108">
        <v>200</v>
      </c>
      <c r="G331" s="110"/>
      <c r="H331" s="110"/>
      <c r="I331" s="111">
        <v>6.196541</v>
      </c>
      <c r="J331" s="111"/>
      <c r="K331" s="111">
        <v>4</v>
      </c>
      <c r="L331" s="111">
        <f t="shared" si="32"/>
        <v>1239.3082</v>
      </c>
      <c r="M331" s="111">
        <f t="shared" si="33"/>
        <v>0</v>
      </c>
      <c r="N331" s="111">
        <f t="shared" si="34"/>
        <v>800</v>
      </c>
      <c r="O331" s="150"/>
      <c r="P331" s="126" t="s">
        <v>629</v>
      </c>
      <c r="U331" s="111">
        <v>6.196541</v>
      </c>
      <c r="V331" s="99">
        <f t="shared" si="35"/>
        <v>0</v>
      </c>
      <c r="W331" s="99">
        <f t="shared" si="36"/>
        <v>6.196541</v>
      </c>
    </row>
    <row r="332" ht="22" customHeight="1" spans="1:23">
      <c r="A332" s="108">
        <v>328</v>
      </c>
      <c r="B332" s="108" t="s">
        <v>775</v>
      </c>
      <c r="C332" s="138" t="s">
        <v>776</v>
      </c>
      <c r="D332" s="115" t="s">
        <v>777</v>
      </c>
      <c r="E332" s="152" t="s">
        <v>468</v>
      </c>
      <c r="F332" s="108">
        <v>200</v>
      </c>
      <c r="G332" s="110"/>
      <c r="H332" s="110"/>
      <c r="I332" s="111">
        <v>5.75302</v>
      </c>
      <c r="J332" s="111"/>
      <c r="K332" s="111">
        <v>4</v>
      </c>
      <c r="L332" s="111">
        <f t="shared" si="32"/>
        <v>1150.604</v>
      </c>
      <c r="M332" s="111">
        <f t="shared" si="33"/>
        <v>0</v>
      </c>
      <c r="N332" s="111">
        <f t="shared" si="34"/>
        <v>800</v>
      </c>
      <c r="O332" s="150"/>
      <c r="P332" s="116" t="s">
        <v>79</v>
      </c>
      <c r="U332" s="111">
        <v>5.75302</v>
      </c>
      <c r="V332" s="99">
        <f t="shared" si="35"/>
        <v>0</v>
      </c>
      <c r="W332" s="99">
        <f t="shared" si="36"/>
        <v>5.75302</v>
      </c>
    </row>
    <row r="333" ht="22" customHeight="1" spans="1:23">
      <c r="A333" s="108">
        <v>329</v>
      </c>
      <c r="B333" s="108" t="s">
        <v>778</v>
      </c>
      <c r="C333" s="134" t="s">
        <v>779</v>
      </c>
      <c r="D333" s="115"/>
      <c r="E333" s="152" t="s">
        <v>468</v>
      </c>
      <c r="F333" s="108">
        <v>500</v>
      </c>
      <c r="G333" s="110"/>
      <c r="H333" s="110"/>
      <c r="I333" s="111">
        <v>11.336</v>
      </c>
      <c r="J333" s="111">
        <v>0</v>
      </c>
      <c r="K333" s="111">
        <v>8</v>
      </c>
      <c r="L333" s="111">
        <f t="shared" si="32"/>
        <v>5668</v>
      </c>
      <c r="M333" s="111">
        <f t="shared" si="33"/>
        <v>0</v>
      </c>
      <c r="N333" s="111">
        <f t="shared" si="34"/>
        <v>4000</v>
      </c>
      <c r="O333" s="150"/>
      <c r="P333" s="116" t="s">
        <v>79</v>
      </c>
      <c r="U333" s="111">
        <v>11.336</v>
      </c>
      <c r="V333" s="99">
        <f t="shared" si="35"/>
        <v>0</v>
      </c>
      <c r="W333" s="99">
        <f t="shared" si="36"/>
        <v>11.336</v>
      </c>
    </row>
    <row r="334" ht="22" customHeight="1" spans="1:23">
      <c r="A334" s="108">
        <v>330</v>
      </c>
      <c r="B334" s="108" t="s">
        <v>780</v>
      </c>
      <c r="C334" s="134" t="s">
        <v>781</v>
      </c>
      <c r="D334" s="115"/>
      <c r="E334" s="152" t="s">
        <v>468</v>
      </c>
      <c r="F334" s="108">
        <v>150</v>
      </c>
      <c r="G334" s="110"/>
      <c r="H334" s="110"/>
      <c r="I334" s="111">
        <v>5.668</v>
      </c>
      <c r="J334" s="111">
        <v>0</v>
      </c>
      <c r="K334" s="111">
        <v>4</v>
      </c>
      <c r="L334" s="111">
        <f t="shared" si="32"/>
        <v>850.2</v>
      </c>
      <c r="M334" s="111">
        <f t="shared" si="33"/>
        <v>0</v>
      </c>
      <c r="N334" s="111">
        <f t="shared" si="34"/>
        <v>600</v>
      </c>
      <c r="O334" s="150"/>
      <c r="P334" s="116" t="s">
        <v>79</v>
      </c>
      <c r="U334" s="111">
        <v>5.668</v>
      </c>
      <c r="V334" s="99">
        <f t="shared" si="35"/>
        <v>0</v>
      </c>
      <c r="W334" s="99">
        <f t="shared" si="36"/>
        <v>5.668</v>
      </c>
    </row>
    <row r="335" ht="58" customHeight="1" spans="1:23">
      <c r="A335" s="108">
        <v>331</v>
      </c>
      <c r="B335" s="108" t="s">
        <v>782</v>
      </c>
      <c r="C335" s="138" t="s">
        <v>375</v>
      </c>
      <c r="D335" s="115" t="s">
        <v>350</v>
      </c>
      <c r="E335" s="137" t="s">
        <v>351</v>
      </c>
      <c r="F335" s="110">
        <v>0.259</v>
      </c>
      <c r="G335" s="110"/>
      <c r="H335" s="110"/>
      <c r="I335" s="111">
        <v>8924.38705752212</v>
      </c>
      <c r="J335" s="111">
        <v>4700</v>
      </c>
      <c r="K335" s="111">
        <v>2600</v>
      </c>
      <c r="L335" s="111">
        <f t="shared" si="32"/>
        <v>2311.41624789823</v>
      </c>
      <c r="M335" s="111">
        <f t="shared" si="33"/>
        <v>1217.3</v>
      </c>
      <c r="N335" s="111">
        <f t="shared" si="34"/>
        <v>673.4</v>
      </c>
      <c r="O335" s="150"/>
      <c r="P335" s="116" t="s">
        <v>596</v>
      </c>
      <c r="U335" s="111">
        <v>8924.38705752212</v>
      </c>
      <c r="V335" s="99">
        <f t="shared" si="35"/>
        <v>0</v>
      </c>
      <c r="W335" s="99">
        <f t="shared" si="36"/>
        <v>4224.38705752212</v>
      </c>
    </row>
    <row r="336" ht="22" customHeight="1" spans="1:23">
      <c r="A336" s="108">
        <v>332</v>
      </c>
      <c r="B336" s="108" t="s">
        <v>783</v>
      </c>
      <c r="C336" s="151" t="s">
        <v>349</v>
      </c>
      <c r="D336" s="115" t="s">
        <v>350</v>
      </c>
      <c r="E336" s="152" t="s">
        <v>468</v>
      </c>
      <c r="F336" s="108">
        <v>100</v>
      </c>
      <c r="G336" s="110"/>
      <c r="H336" s="110"/>
      <c r="I336" s="111">
        <v>60.124592920354</v>
      </c>
      <c r="J336" s="111">
        <v>30</v>
      </c>
      <c r="K336" s="111">
        <v>20</v>
      </c>
      <c r="L336" s="111">
        <f t="shared" si="32"/>
        <v>6012.4592920354</v>
      </c>
      <c r="M336" s="111">
        <f t="shared" si="33"/>
        <v>3000</v>
      </c>
      <c r="N336" s="111">
        <f t="shared" si="34"/>
        <v>2000</v>
      </c>
      <c r="O336" s="150"/>
      <c r="P336" s="116" t="s">
        <v>79</v>
      </c>
      <c r="U336" s="111">
        <v>60.124592920354</v>
      </c>
      <c r="V336" s="99">
        <f t="shared" si="35"/>
        <v>0</v>
      </c>
      <c r="W336" s="99">
        <f t="shared" si="36"/>
        <v>30.124592920354</v>
      </c>
    </row>
    <row r="337" ht="22" customHeight="1" spans="1:23">
      <c r="A337" s="108">
        <v>333</v>
      </c>
      <c r="B337" s="108" t="s">
        <v>784</v>
      </c>
      <c r="C337" s="138" t="s">
        <v>785</v>
      </c>
      <c r="D337" s="115" t="s">
        <v>338</v>
      </c>
      <c r="E337" s="152" t="s">
        <v>468</v>
      </c>
      <c r="F337" s="108">
        <v>150</v>
      </c>
      <c r="G337" s="110"/>
      <c r="H337" s="110"/>
      <c r="I337" s="111">
        <v>39.2524433628319</v>
      </c>
      <c r="J337" s="111">
        <v>14</v>
      </c>
      <c r="K337" s="111">
        <v>18</v>
      </c>
      <c r="L337" s="111">
        <f t="shared" si="32"/>
        <v>5887.86650442478</v>
      </c>
      <c r="M337" s="111">
        <f t="shared" si="33"/>
        <v>2100</v>
      </c>
      <c r="N337" s="111">
        <f t="shared" si="34"/>
        <v>2700</v>
      </c>
      <c r="O337" s="150"/>
      <c r="P337" s="116" t="s">
        <v>79</v>
      </c>
      <c r="U337" s="111">
        <v>39.2524433628319</v>
      </c>
      <c r="V337" s="99">
        <f t="shared" si="35"/>
        <v>0</v>
      </c>
      <c r="W337" s="99">
        <f t="shared" si="36"/>
        <v>25.2524433628319</v>
      </c>
    </row>
    <row r="338" ht="22" customHeight="1" spans="1:23">
      <c r="A338" s="108">
        <v>334</v>
      </c>
      <c r="B338" s="108">
        <v>12</v>
      </c>
      <c r="C338" s="138" t="s">
        <v>786</v>
      </c>
      <c r="D338" s="115"/>
      <c r="E338" s="108"/>
      <c r="F338" s="108"/>
      <c r="G338" s="110"/>
      <c r="H338" s="110"/>
      <c r="I338" s="111">
        <v>0</v>
      </c>
      <c r="J338" s="111">
        <v>0</v>
      </c>
      <c r="K338" s="111">
        <v>0</v>
      </c>
      <c r="L338" s="111">
        <f>SUM(L339:L355)</f>
        <v>19043.1904115469</v>
      </c>
      <c r="M338" s="111">
        <f>SUM(M339:M355)</f>
        <v>1602</v>
      </c>
      <c r="N338" s="111">
        <f>SUM(N339:N355)</f>
        <v>13124</v>
      </c>
      <c r="O338" s="150"/>
      <c r="P338" s="116"/>
      <c r="U338" s="111">
        <v>0</v>
      </c>
      <c r="V338" s="99">
        <f t="shared" si="35"/>
        <v>0</v>
      </c>
      <c r="W338" s="99">
        <f t="shared" si="36"/>
        <v>0</v>
      </c>
    </row>
    <row r="339" ht="22" customHeight="1" spans="1:23">
      <c r="A339" s="108">
        <v>335</v>
      </c>
      <c r="B339" s="148" t="s">
        <v>787</v>
      </c>
      <c r="C339" s="115" t="s">
        <v>324</v>
      </c>
      <c r="D339" s="115"/>
      <c r="E339" s="137"/>
      <c r="F339" s="108"/>
      <c r="G339" s="110"/>
      <c r="H339" s="110"/>
      <c r="I339" s="111">
        <v>0</v>
      </c>
      <c r="J339" s="111">
        <v>0</v>
      </c>
      <c r="K339" s="111">
        <v>0</v>
      </c>
      <c r="L339" s="111">
        <f t="shared" si="32"/>
        <v>0</v>
      </c>
      <c r="M339" s="111">
        <f t="shared" si="33"/>
        <v>0</v>
      </c>
      <c r="N339" s="111">
        <f t="shared" si="34"/>
        <v>0</v>
      </c>
      <c r="O339" s="149"/>
      <c r="P339" s="116"/>
      <c r="U339" s="111">
        <v>0</v>
      </c>
      <c r="V339" s="99">
        <f t="shared" si="35"/>
        <v>0</v>
      </c>
      <c r="W339" s="99">
        <f t="shared" si="36"/>
        <v>0</v>
      </c>
    </row>
    <row r="340" ht="70" customHeight="1" spans="1:23">
      <c r="A340" s="108">
        <v>336</v>
      </c>
      <c r="B340" s="148" t="s">
        <v>788</v>
      </c>
      <c r="C340" s="115" t="s">
        <v>789</v>
      </c>
      <c r="D340" s="115"/>
      <c r="E340" s="137" t="s">
        <v>336</v>
      </c>
      <c r="F340" s="108">
        <v>1</v>
      </c>
      <c r="G340" s="110"/>
      <c r="H340" s="110"/>
      <c r="I340" s="111">
        <v>645.825</v>
      </c>
      <c r="J340" s="111">
        <v>0</v>
      </c>
      <c r="K340" s="111">
        <v>500</v>
      </c>
      <c r="L340" s="111">
        <f t="shared" si="32"/>
        <v>645.825</v>
      </c>
      <c r="M340" s="111">
        <f t="shared" si="33"/>
        <v>0</v>
      </c>
      <c r="N340" s="111">
        <f t="shared" si="34"/>
        <v>500</v>
      </c>
      <c r="O340" s="149"/>
      <c r="P340" s="116" t="s">
        <v>442</v>
      </c>
      <c r="U340" s="111">
        <v>645.825</v>
      </c>
      <c r="V340" s="99">
        <f t="shared" si="35"/>
        <v>0</v>
      </c>
      <c r="W340" s="99">
        <f t="shared" si="36"/>
        <v>645.825</v>
      </c>
    </row>
    <row r="341" ht="22" customHeight="1" spans="1:23">
      <c r="A341" s="108">
        <v>337</v>
      </c>
      <c r="B341" s="148" t="s">
        <v>790</v>
      </c>
      <c r="C341" s="115" t="s">
        <v>791</v>
      </c>
      <c r="D341" s="115"/>
      <c r="E341" s="137" t="s">
        <v>336</v>
      </c>
      <c r="F341" s="108">
        <v>1</v>
      </c>
      <c r="G341" s="110"/>
      <c r="H341" s="110"/>
      <c r="I341" s="111">
        <v>645.825</v>
      </c>
      <c r="J341" s="111">
        <v>0</v>
      </c>
      <c r="K341" s="111">
        <v>500</v>
      </c>
      <c r="L341" s="111">
        <f t="shared" si="32"/>
        <v>645.825</v>
      </c>
      <c r="M341" s="111">
        <f t="shared" si="33"/>
        <v>0</v>
      </c>
      <c r="N341" s="111">
        <f t="shared" si="34"/>
        <v>500</v>
      </c>
      <c r="O341" s="149"/>
      <c r="P341" s="116" t="s">
        <v>79</v>
      </c>
      <c r="U341" s="111">
        <v>645.825</v>
      </c>
      <c r="V341" s="99">
        <f t="shared" si="35"/>
        <v>0</v>
      </c>
      <c r="W341" s="99">
        <f t="shared" si="36"/>
        <v>645.825</v>
      </c>
    </row>
    <row r="342" ht="22" customHeight="1" spans="1:23">
      <c r="A342" s="108">
        <v>338</v>
      </c>
      <c r="B342" s="148" t="s">
        <v>792</v>
      </c>
      <c r="C342" s="115" t="s">
        <v>793</v>
      </c>
      <c r="D342" s="115"/>
      <c r="E342" s="137" t="s">
        <v>336</v>
      </c>
      <c r="F342" s="108">
        <v>1</v>
      </c>
      <c r="G342" s="110"/>
      <c r="H342" s="110"/>
      <c r="I342" s="111">
        <v>645.825</v>
      </c>
      <c r="J342" s="111">
        <v>0</v>
      </c>
      <c r="K342" s="111">
        <v>500</v>
      </c>
      <c r="L342" s="111">
        <f t="shared" si="32"/>
        <v>645.825</v>
      </c>
      <c r="M342" s="111">
        <f t="shared" si="33"/>
        <v>0</v>
      </c>
      <c r="N342" s="111">
        <f t="shared" si="34"/>
        <v>500</v>
      </c>
      <c r="O342" s="149"/>
      <c r="P342" s="116" t="s">
        <v>79</v>
      </c>
      <c r="U342" s="111">
        <v>645.825</v>
      </c>
      <c r="V342" s="99">
        <f t="shared" si="35"/>
        <v>0</v>
      </c>
      <c r="W342" s="99">
        <f t="shared" si="36"/>
        <v>645.825</v>
      </c>
    </row>
    <row r="343" ht="22" customHeight="1" spans="1:23">
      <c r="A343" s="108">
        <v>339</v>
      </c>
      <c r="B343" s="148" t="s">
        <v>794</v>
      </c>
      <c r="C343" s="115" t="s">
        <v>795</v>
      </c>
      <c r="D343" s="115"/>
      <c r="E343" s="137" t="s">
        <v>336</v>
      </c>
      <c r="F343" s="108">
        <v>1</v>
      </c>
      <c r="G343" s="110"/>
      <c r="H343" s="110"/>
      <c r="I343" s="111">
        <v>645.825</v>
      </c>
      <c r="J343" s="111">
        <v>0</v>
      </c>
      <c r="K343" s="111">
        <v>500</v>
      </c>
      <c r="L343" s="111">
        <f t="shared" si="32"/>
        <v>645.825</v>
      </c>
      <c r="M343" s="111">
        <f t="shared" si="33"/>
        <v>0</v>
      </c>
      <c r="N343" s="111">
        <f t="shared" si="34"/>
        <v>500</v>
      </c>
      <c r="O343" s="149"/>
      <c r="P343" s="116" t="s">
        <v>79</v>
      </c>
      <c r="U343" s="111">
        <v>645.825</v>
      </c>
      <c r="V343" s="99">
        <f t="shared" si="35"/>
        <v>0</v>
      </c>
      <c r="W343" s="99">
        <f t="shared" si="36"/>
        <v>645.825</v>
      </c>
    </row>
    <row r="344" ht="22" customHeight="1" spans="1:23">
      <c r="A344" s="108">
        <v>340</v>
      </c>
      <c r="B344" s="148" t="s">
        <v>796</v>
      </c>
      <c r="C344" s="115" t="s">
        <v>797</v>
      </c>
      <c r="D344" s="115" t="s">
        <v>798</v>
      </c>
      <c r="E344" s="137" t="s">
        <v>336</v>
      </c>
      <c r="F344" s="108">
        <v>1</v>
      </c>
      <c r="G344" s="110"/>
      <c r="H344" s="110"/>
      <c r="I344" s="111">
        <v>645.825</v>
      </c>
      <c r="J344" s="111">
        <v>0</v>
      </c>
      <c r="K344" s="111">
        <v>500</v>
      </c>
      <c r="L344" s="111">
        <f t="shared" si="32"/>
        <v>645.825</v>
      </c>
      <c r="M344" s="111">
        <f t="shared" si="33"/>
        <v>0</v>
      </c>
      <c r="N344" s="111">
        <f t="shared" si="34"/>
        <v>500</v>
      </c>
      <c r="O344" s="149"/>
      <c r="P344" s="116" t="s">
        <v>79</v>
      </c>
      <c r="U344" s="111">
        <v>645.825</v>
      </c>
      <c r="V344" s="99">
        <f t="shared" si="35"/>
        <v>0</v>
      </c>
      <c r="W344" s="99">
        <f t="shared" si="36"/>
        <v>645.825</v>
      </c>
    </row>
    <row r="345" ht="22" customHeight="1" spans="1:23">
      <c r="A345" s="108">
        <v>341</v>
      </c>
      <c r="B345" s="148" t="s">
        <v>799</v>
      </c>
      <c r="C345" s="115" t="s">
        <v>800</v>
      </c>
      <c r="D345" s="115" t="s">
        <v>801</v>
      </c>
      <c r="E345" s="137" t="s">
        <v>336</v>
      </c>
      <c r="F345" s="108">
        <v>1</v>
      </c>
      <c r="G345" s="110"/>
      <c r="H345" s="110"/>
      <c r="I345" s="111">
        <v>387.495</v>
      </c>
      <c r="J345" s="111">
        <v>0</v>
      </c>
      <c r="K345" s="111">
        <v>300</v>
      </c>
      <c r="L345" s="111">
        <f t="shared" si="32"/>
        <v>387.495</v>
      </c>
      <c r="M345" s="111">
        <f t="shared" si="33"/>
        <v>0</v>
      </c>
      <c r="N345" s="111">
        <f t="shared" si="34"/>
        <v>300</v>
      </c>
      <c r="O345" s="149"/>
      <c r="P345" s="116" t="s">
        <v>79</v>
      </c>
      <c r="U345" s="111">
        <v>387.495</v>
      </c>
      <c r="V345" s="99">
        <f t="shared" si="35"/>
        <v>0</v>
      </c>
      <c r="W345" s="99">
        <f t="shared" si="36"/>
        <v>387.495</v>
      </c>
    </row>
    <row r="346" ht="22" customHeight="1" spans="1:23">
      <c r="A346" s="108">
        <v>342</v>
      </c>
      <c r="B346" s="148" t="s">
        <v>802</v>
      </c>
      <c r="C346" s="115" t="s">
        <v>803</v>
      </c>
      <c r="D346" s="115" t="s">
        <v>804</v>
      </c>
      <c r="E346" s="137" t="s">
        <v>301</v>
      </c>
      <c r="F346" s="108">
        <v>1</v>
      </c>
      <c r="G346" s="110"/>
      <c r="H346" s="110"/>
      <c r="I346" s="111">
        <v>645.825</v>
      </c>
      <c r="J346" s="111">
        <v>0</v>
      </c>
      <c r="K346" s="111">
        <v>500</v>
      </c>
      <c r="L346" s="111">
        <f t="shared" si="32"/>
        <v>645.825</v>
      </c>
      <c r="M346" s="111">
        <f t="shared" si="33"/>
        <v>0</v>
      </c>
      <c r="N346" s="111">
        <f t="shared" si="34"/>
        <v>500</v>
      </c>
      <c r="O346" s="149"/>
      <c r="P346" s="116" t="s">
        <v>79</v>
      </c>
      <c r="U346" s="111">
        <v>645.825</v>
      </c>
      <c r="V346" s="99">
        <f t="shared" si="35"/>
        <v>0</v>
      </c>
      <c r="W346" s="99">
        <f t="shared" si="36"/>
        <v>645.825</v>
      </c>
    </row>
    <row r="347" ht="22" customHeight="1" spans="1:23">
      <c r="A347" s="108">
        <v>343</v>
      </c>
      <c r="B347" s="148" t="s">
        <v>805</v>
      </c>
      <c r="C347" s="115" t="s">
        <v>806</v>
      </c>
      <c r="D347" s="115" t="s">
        <v>807</v>
      </c>
      <c r="E347" s="137" t="s">
        <v>301</v>
      </c>
      <c r="F347" s="108">
        <v>4</v>
      </c>
      <c r="G347" s="110"/>
      <c r="H347" s="110"/>
      <c r="I347" s="111">
        <v>387.495</v>
      </c>
      <c r="J347" s="111">
        <v>0</v>
      </c>
      <c r="K347" s="111">
        <v>300</v>
      </c>
      <c r="L347" s="111">
        <f t="shared" si="32"/>
        <v>1549.98</v>
      </c>
      <c r="M347" s="111">
        <f t="shared" si="33"/>
        <v>0</v>
      </c>
      <c r="N347" s="111">
        <f t="shared" si="34"/>
        <v>1200</v>
      </c>
      <c r="O347" s="149"/>
      <c r="P347" s="116" t="s">
        <v>79</v>
      </c>
      <c r="U347" s="111">
        <v>387.495</v>
      </c>
      <c r="V347" s="99">
        <f t="shared" si="35"/>
        <v>0</v>
      </c>
      <c r="W347" s="99">
        <f t="shared" si="36"/>
        <v>387.495</v>
      </c>
    </row>
    <row r="348" ht="33" customHeight="1" spans="1:23">
      <c r="A348" s="108">
        <v>344</v>
      </c>
      <c r="B348" s="148" t="s">
        <v>808</v>
      </c>
      <c r="C348" s="115" t="s">
        <v>809</v>
      </c>
      <c r="D348" s="134" t="s">
        <v>810</v>
      </c>
      <c r="E348" s="137" t="s">
        <v>301</v>
      </c>
      <c r="F348" s="108">
        <v>32</v>
      </c>
      <c r="G348" s="110"/>
      <c r="H348" s="110"/>
      <c r="I348" s="111">
        <v>258.33</v>
      </c>
      <c r="J348" s="111">
        <v>0</v>
      </c>
      <c r="K348" s="111">
        <v>200</v>
      </c>
      <c r="L348" s="111">
        <f t="shared" si="32"/>
        <v>8266.56</v>
      </c>
      <c r="M348" s="111">
        <f t="shared" si="33"/>
        <v>0</v>
      </c>
      <c r="N348" s="111">
        <f t="shared" si="34"/>
        <v>6400</v>
      </c>
      <c r="O348" s="149"/>
      <c r="P348" s="116" t="s">
        <v>79</v>
      </c>
      <c r="U348" s="111">
        <v>258.33</v>
      </c>
      <c r="V348" s="99">
        <f t="shared" si="35"/>
        <v>0</v>
      </c>
      <c r="W348" s="99">
        <f t="shared" si="36"/>
        <v>258.33</v>
      </c>
    </row>
    <row r="349" ht="22" customHeight="1" spans="1:23">
      <c r="A349" s="108">
        <v>345</v>
      </c>
      <c r="B349" s="153">
        <v>12.2</v>
      </c>
      <c r="C349" s="138" t="s">
        <v>316</v>
      </c>
      <c r="D349" s="115"/>
      <c r="E349" s="137"/>
      <c r="F349" s="108"/>
      <c r="G349" s="110"/>
      <c r="H349" s="110"/>
      <c r="I349" s="111">
        <v>0</v>
      </c>
      <c r="J349" s="111">
        <v>0</v>
      </c>
      <c r="K349" s="111">
        <v>0</v>
      </c>
      <c r="L349" s="111">
        <f t="shared" si="32"/>
        <v>0</v>
      </c>
      <c r="M349" s="111">
        <f t="shared" si="33"/>
        <v>0</v>
      </c>
      <c r="N349" s="111">
        <f t="shared" si="34"/>
        <v>0</v>
      </c>
      <c r="O349" s="149"/>
      <c r="P349" s="116"/>
      <c r="U349" s="111">
        <v>0</v>
      </c>
      <c r="V349" s="99">
        <f t="shared" si="35"/>
        <v>0</v>
      </c>
      <c r="W349" s="99">
        <f t="shared" si="36"/>
        <v>0</v>
      </c>
    </row>
    <row r="350" ht="65" customHeight="1" spans="1:23">
      <c r="A350" s="108">
        <v>346</v>
      </c>
      <c r="B350" s="183" t="s">
        <v>811</v>
      </c>
      <c r="C350" s="115" t="s">
        <v>375</v>
      </c>
      <c r="D350" s="115" t="s">
        <v>350</v>
      </c>
      <c r="E350" s="137" t="s">
        <v>351</v>
      </c>
      <c r="F350" s="177">
        <v>0.16</v>
      </c>
      <c r="G350" s="110"/>
      <c r="H350" s="110"/>
      <c r="I350" s="111">
        <v>8924.38705752212</v>
      </c>
      <c r="J350" s="111">
        <v>4700</v>
      </c>
      <c r="K350" s="111">
        <v>2600</v>
      </c>
      <c r="L350" s="111">
        <f t="shared" si="32"/>
        <v>1427.90192920354</v>
      </c>
      <c r="M350" s="111">
        <f t="shared" si="33"/>
        <v>752</v>
      </c>
      <c r="N350" s="111">
        <f t="shared" si="34"/>
        <v>416</v>
      </c>
      <c r="O350" s="149"/>
      <c r="P350" s="116" t="s">
        <v>596</v>
      </c>
      <c r="U350" s="111">
        <v>8924.38705752212</v>
      </c>
      <c r="V350" s="99">
        <f t="shared" si="35"/>
        <v>0</v>
      </c>
      <c r="W350" s="99">
        <f t="shared" si="36"/>
        <v>4224.38705752212</v>
      </c>
    </row>
    <row r="351" ht="22" customHeight="1" spans="1:23">
      <c r="A351" s="108">
        <v>347</v>
      </c>
      <c r="B351" s="183" t="s">
        <v>812</v>
      </c>
      <c r="C351" s="115" t="s">
        <v>813</v>
      </c>
      <c r="D351" s="115" t="s">
        <v>814</v>
      </c>
      <c r="E351" s="152" t="s">
        <v>468</v>
      </c>
      <c r="F351" s="109">
        <v>30</v>
      </c>
      <c r="G351" s="110"/>
      <c r="H351" s="110"/>
      <c r="I351" s="111">
        <v>29.3193119469027</v>
      </c>
      <c r="J351" s="111">
        <v>20</v>
      </c>
      <c r="K351" s="111">
        <v>5</v>
      </c>
      <c r="L351" s="111">
        <f t="shared" si="32"/>
        <v>879.579358407081</v>
      </c>
      <c r="M351" s="111">
        <f t="shared" si="33"/>
        <v>600</v>
      </c>
      <c r="N351" s="111">
        <f t="shared" si="34"/>
        <v>150</v>
      </c>
      <c r="O351" s="149"/>
      <c r="P351" s="116" t="s">
        <v>79</v>
      </c>
      <c r="U351" s="111">
        <v>29.3193119469027</v>
      </c>
      <c r="V351" s="99">
        <f t="shared" si="35"/>
        <v>0</v>
      </c>
      <c r="W351" s="99">
        <f t="shared" si="36"/>
        <v>9.3193119469027</v>
      </c>
    </row>
    <row r="352" ht="33" customHeight="1" spans="1:23">
      <c r="A352" s="108">
        <v>348</v>
      </c>
      <c r="B352" s="183" t="s">
        <v>815</v>
      </c>
      <c r="C352" s="115" t="s">
        <v>816</v>
      </c>
      <c r="D352" s="115" t="s">
        <v>817</v>
      </c>
      <c r="E352" s="129" t="s">
        <v>74</v>
      </c>
      <c r="F352" s="177">
        <v>1</v>
      </c>
      <c r="G352" s="110"/>
      <c r="H352" s="110"/>
      <c r="I352" s="111">
        <v>350.345774336283</v>
      </c>
      <c r="J352" s="111">
        <v>250</v>
      </c>
      <c r="K352" s="111">
        <v>50</v>
      </c>
      <c r="L352" s="111">
        <f t="shared" si="32"/>
        <v>350.345774336283</v>
      </c>
      <c r="M352" s="111">
        <f t="shared" si="33"/>
        <v>250</v>
      </c>
      <c r="N352" s="111">
        <f t="shared" si="34"/>
        <v>50</v>
      </c>
      <c r="O352" s="149"/>
      <c r="P352" s="116" t="s">
        <v>98</v>
      </c>
      <c r="U352" s="111">
        <v>350.345774336283</v>
      </c>
      <c r="V352" s="99">
        <f t="shared" si="35"/>
        <v>0</v>
      </c>
      <c r="W352" s="99">
        <f t="shared" si="36"/>
        <v>100.345774336283</v>
      </c>
    </row>
    <row r="353" ht="59" customHeight="1" spans="1:23">
      <c r="A353" s="108">
        <v>349</v>
      </c>
      <c r="B353" s="183" t="s">
        <v>818</v>
      </c>
      <c r="C353" s="115" t="s">
        <v>819</v>
      </c>
      <c r="D353" s="115" t="s">
        <v>820</v>
      </c>
      <c r="E353" s="152" t="s">
        <v>468</v>
      </c>
      <c r="F353" s="109">
        <v>160</v>
      </c>
      <c r="G353" s="110"/>
      <c r="H353" s="110"/>
      <c r="I353" s="111">
        <v>11.43519</v>
      </c>
      <c r="J353" s="111"/>
      <c r="K353" s="111">
        <v>8</v>
      </c>
      <c r="L353" s="111">
        <f t="shared" si="32"/>
        <v>1829.6304</v>
      </c>
      <c r="M353" s="111">
        <f t="shared" si="33"/>
        <v>0</v>
      </c>
      <c r="N353" s="111">
        <f t="shared" si="34"/>
        <v>1280</v>
      </c>
      <c r="O353" s="149"/>
      <c r="P353" s="126" t="s">
        <v>629</v>
      </c>
      <c r="U353" s="111">
        <v>11.43519</v>
      </c>
      <c r="V353" s="99">
        <f t="shared" si="35"/>
        <v>0</v>
      </c>
      <c r="W353" s="99">
        <f t="shared" si="36"/>
        <v>11.43519</v>
      </c>
    </row>
    <row r="354" ht="22" customHeight="1" spans="1:23">
      <c r="A354" s="108">
        <v>350</v>
      </c>
      <c r="B354" s="183" t="s">
        <v>821</v>
      </c>
      <c r="C354" s="115" t="s">
        <v>822</v>
      </c>
      <c r="D354" s="115" t="s">
        <v>823</v>
      </c>
      <c r="E354" s="152" t="s">
        <v>468</v>
      </c>
      <c r="F354" s="109">
        <v>80</v>
      </c>
      <c r="G354" s="110"/>
      <c r="H354" s="110"/>
      <c r="I354" s="111">
        <v>5.815368</v>
      </c>
      <c r="J354" s="111"/>
      <c r="K354" s="111">
        <v>4</v>
      </c>
      <c r="L354" s="111">
        <f t="shared" si="32"/>
        <v>465.22944</v>
      </c>
      <c r="M354" s="111">
        <f t="shared" si="33"/>
        <v>0</v>
      </c>
      <c r="N354" s="111">
        <f t="shared" si="34"/>
        <v>320</v>
      </c>
      <c r="O354" s="149"/>
      <c r="P354" s="116" t="s">
        <v>79</v>
      </c>
      <c r="U354" s="111">
        <v>5.815368</v>
      </c>
      <c r="V354" s="99">
        <f t="shared" si="35"/>
        <v>0</v>
      </c>
      <c r="W354" s="99">
        <f t="shared" si="36"/>
        <v>5.815368</v>
      </c>
    </row>
    <row r="355" ht="22" customHeight="1" spans="1:23">
      <c r="A355" s="108">
        <v>351</v>
      </c>
      <c r="B355" s="183" t="s">
        <v>824</v>
      </c>
      <c r="C355" s="115" t="s">
        <v>825</v>
      </c>
      <c r="D355" s="115" t="s">
        <v>826</v>
      </c>
      <c r="E355" s="152" t="s">
        <v>468</v>
      </c>
      <c r="F355" s="109">
        <v>2</v>
      </c>
      <c r="G355" s="110"/>
      <c r="H355" s="110"/>
      <c r="I355" s="111">
        <v>5.7592548</v>
      </c>
      <c r="J355" s="111"/>
      <c r="K355" s="111">
        <v>4</v>
      </c>
      <c r="L355" s="111">
        <f t="shared" si="32"/>
        <v>11.5185096</v>
      </c>
      <c r="M355" s="111">
        <f t="shared" si="33"/>
        <v>0</v>
      </c>
      <c r="N355" s="111">
        <f t="shared" si="34"/>
        <v>8</v>
      </c>
      <c r="O355" s="149"/>
      <c r="P355" s="116" t="s">
        <v>79</v>
      </c>
      <c r="U355" s="111">
        <v>5.7592548</v>
      </c>
      <c r="V355" s="99">
        <f t="shared" si="35"/>
        <v>0</v>
      </c>
      <c r="W355" s="99">
        <f t="shared" si="36"/>
        <v>5.7592548</v>
      </c>
    </row>
    <row r="356" ht="22" customHeight="1" spans="1:23">
      <c r="A356" s="108">
        <v>352</v>
      </c>
      <c r="B356" s="153">
        <v>13</v>
      </c>
      <c r="C356" s="115" t="s">
        <v>827</v>
      </c>
      <c r="D356" s="115"/>
      <c r="E356" s="108"/>
      <c r="F356" s="108"/>
      <c r="G356" s="110"/>
      <c r="H356" s="110"/>
      <c r="I356" s="111">
        <v>0</v>
      </c>
      <c r="J356" s="111">
        <v>0</v>
      </c>
      <c r="K356" s="111">
        <v>0</v>
      </c>
      <c r="L356" s="111">
        <f>SUM(L357:L376)</f>
        <v>219302.282535221</v>
      </c>
      <c r="M356" s="111">
        <f>SUM(M357:M376)</f>
        <v>25756</v>
      </c>
      <c r="N356" s="111">
        <f>SUM(N357:N376)</f>
        <v>136668</v>
      </c>
      <c r="O356" s="184"/>
      <c r="P356" s="116"/>
      <c r="U356" s="111">
        <v>0</v>
      </c>
      <c r="V356" s="99">
        <f t="shared" si="35"/>
        <v>0</v>
      </c>
      <c r="W356" s="99">
        <f t="shared" si="36"/>
        <v>0</v>
      </c>
    </row>
    <row r="357" ht="22" customHeight="1" spans="1:23">
      <c r="A357" s="108">
        <v>353</v>
      </c>
      <c r="B357" s="148" t="s">
        <v>828</v>
      </c>
      <c r="C357" s="115" t="s">
        <v>324</v>
      </c>
      <c r="D357" s="115"/>
      <c r="E357" s="108"/>
      <c r="F357" s="108"/>
      <c r="G357" s="110"/>
      <c r="H357" s="110"/>
      <c r="I357" s="111">
        <v>0</v>
      </c>
      <c r="J357" s="111">
        <v>0</v>
      </c>
      <c r="K357" s="111">
        <v>0</v>
      </c>
      <c r="L357" s="111">
        <f t="shared" si="32"/>
        <v>0</v>
      </c>
      <c r="M357" s="111">
        <f t="shared" si="33"/>
        <v>0</v>
      </c>
      <c r="N357" s="111">
        <f t="shared" si="34"/>
        <v>0</v>
      </c>
      <c r="O357" s="184"/>
      <c r="P357" s="116"/>
      <c r="U357" s="111">
        <v>0</v>
      </c>
      <c r="V357" s="99">
        <f t="shared" si="35"/>
        <v>0</v>
      </c>
      <c r="W357" s="99">
        <f t="shared" si="36"/>
        <v>0</v>
      </c>
    </row>
    <row r="358" ht="70" customHeight="1" spans="1:23">
      <c r="A358" s="108">
        <v>354</v>
      </c>
      <c r="B358" s="148" t="s">
        <v>829</v>
      </c>
      <c r="C358" s="115" t="s">
        <v>830</v>
      </c>
      <c r="D358" s="134" t="s">
        <v>831</v>
      </c>
      <c r="E358" s="152" t="s">
        <v>234</v>
      </c>
      <c r="F358" s="108">
        <v>1</v>
      </c>
      <c r="G358" s="110"/>
      <c r="H358" s="110"/>
      <c r="I358" s="111">
        <v>387.495</v>
      </c>
      <c r="J358" s="111">
        <v>0</v>
      </c>
      <c r="K358" s="111">
        <v>300</v>
      </c>
      <c r="L358" s="111">
        <f t="shared" si="32"/>
        <v>387.495</v>
      </c>
      <c r="M358" s="111">
        <f t="shared" si="33"/>
        <v>0</v>
      </c>
      <c r="N358" s="111">
        <f t="shared" si="34"/>
        <v>300</v>
      </c>
      <c r="O358" s="184"/>
      <c r="P358" s="116" t="s">
        <v>442</v>
      </c>
      <c r="U358" s="111">
        <v>387.495</v>
      </c>
      <c r="V358" s="99">
        <f t="shared" si="35"/>
        <v>0</v>
      </c>
      <c r="W358" s="99">
        <f t="shared" si="36"/>
        <v>387.495</v>
      </c>
    </row>
    <row r="359" ht="65" customHeight="1" spans="1:23">
      <c r="A359" s="108">
        <v>355</v>
      </c>
      <c r="B359" s="148" t="s">
        <v>832</v>
      </c>
      <c r="C359" s="134" t="s">
        <v>833</v>
      </c>
      <c r="D359" s="134" t="s">
        <v>834</v>
      </c>
      <c r="E359" s="109" t="s">
        <v>301</v>
      </c>
      <c r="F359" s="109">
        <v>1</v>
      </c>
      <c r="G359" s="110"/>
      <c r="H359" s="110"/>
      <c r="I359" s="111">
        <v>25833</v>
      </c>
      <c r="J359" s="111">
        <v>0</v>
      </c>
      <c r="K359" s="111">
        <v>20000</v>
      </c>
      <c r="L359" s="111">
        <f t="shared" si="32"/>
        <v>25833</v>
      </c>
      <c r="M359" s="111">
        <f t="shared" si="33"/>
        <v>0</v>
      </c>
      <c r="N359" s="111">
        <f t="shared" si="34"/>
        <v>20000</v>
      </c>
      <c r="O359" s="184"/>
      <c r="P359" s="116" t="s">
        <v>442</v>
      </c>
      <c r="U359" s="111">
        <v>25833</v>
      </c>
      <c r="V359" s="99">
        <f t="shared" si="35"/>
        <v>0</v>
      </c>
      <c r="W359" s="99">
        <f t="shared" si="36"/>
        <v>25833</v>
      </c>
    </row>
    <row r="360" ht="71" customHeight="1" spans="1:23">
      <c r="A360" s="108">
        <v>356</v>
      </c>
      <c r="B360" s="148" t="s">
        <v>835</v>
      </c>
      <c r="C360" s="115" t="s">
        <v>836</v>
      </c>
      <c r="D360" s="134" t="s">
        <v>837</v>
      </c>
      <c r="E360" s="109" t="s">
        <v>301</v>
      </c>
      <c r="F360" s="109">
        <v>1</v>
      </c>
      <c r="G360" s="110"/>
      <c r="H360" s="110"/>
      <c r="I360" s="111">
        <v>6458.25</v>
      </c>
      <c r="J360" s="111">
        <v>0</v>
      </c>
      <c r="K360" s="111">
        <v>5000</v>
      </c>
      <c r="L360" s="111">
        <f t="shared" si="32"/>
        <v>6458.25</v>
      </c>
      <c r="M360" s="111">
        <f t="shared" si="33"/>
        <v>0</v>
      </c>
      <c r="N360" s="111">
        <f t="shared" si="34"/>
        <v>5000</v>
      </c>
      <c r="O360" s="184"/>
      <c r="P360" s="116" t="s">
        <v>442</v>
      </c>
      <c r="U360" s="111">
        <v>6458.25</v>
      </c>
      <c r="V360" s="99">
        <f t="shared" si="35"/>
        <v>0</v>
      </c>
      <c r="W360" s="99">
        <f t="shared" si="36"/>
        <v>6458.25</v>
      </c>
    </row>
    <row r="361" ht="73" customHeight="1" spans="1:23">
      <c r="A361" s="108">
        <v>357</v>
      </c>
      <c r="B361" s="148" t="s">
        <v>838</v>
      </c>
      <c r="C361" s="115" t="s">
        <v>839</v>
      </c>
      <c r="D361" s="115" t="s">
        <v>840</v>
      </c>
      <c r="E361" s="185" t="s">
        <v>234</v>
      </c>
      <c r="F361" s="109">
        <v>1</v>
      </c>
      <c r="G361" s="110"/>
      <c r="H361" s="110"/>
      <c r="I361" s="111">
        <v>12916.5</v>
      </c>
      <c r="J361" s="111">
        <v>0</v>
      </c>
      <c r="K361" s="111">
        <v>10000</v>
      </c>
      <c r="L361" s="111">
        <f t="shared" si="32"/>
        <v>12916.5</v>
      </c>
      <c r="M361" s="111">
        <f t="shared" si="33"/>
        <v>0</v>
      </c>
      <c r="N361" s="111">
        <f t="shared" si="34"/>
        <v>10000</v>
      </c>
      <c r="O361" s="149"/>
      <c r="P361" s="116" t="s">
        <v>841</v>
      </c>
      <c r="U361" s="111">
        <v>12916.5</v>
      </c>
      <c r="V361" s="99">
        <f t="shared" si="35"/>
        <v>0</v>
      </c>
      <c r="W361" s="99">
        <f t="shared" si="36"/>
        <v>12916.5</v>
      </c>
    </row>
    <row r="362" ht="22" customHeight="1" spans="1:23">
      <c r="A362" s="108">
        <v>358</v>
      </c>
      <c r="B362" s="153">
        <v>13.2</v>
      </c>
      <c r="C362" s="138" t="s">
        <v>316</v>
      </c>
      <c r="D362" s="115"/>
      <c r="E362" s="109"/>
      <c r="F362" s="109"/>
      <c r="G362" s="110"/>
      <c r="H362" s="110"/>
      <c r="I362" s="111">
        <v>0</v>
      </c>
      <c r="J362" s="111">
        <v>0</v>
      </c>
      <c r="K362" s="111">
        <v>0</v>
      </c>
      <c r="L362" s="111">
        <f t="shared" si="32"/>
        <v>0</v>
      </c>
      <c r="M362" s="111">
        <f t="shared" si="33"/>
        <v>0</v>
      </c>
      <c r="N362" s="111">
        <f t="shared" si="34"/>
        <v>0</v>
      </c>
      <c r="O362" s="149"/>
      <c r="P362" s="116"/>
      <c r="U362" s="111">
        <v>0</v>
      </c>
      <c r="V362" s="99">
        <f t="shared" si="35"/>
        <v>0</v>
      </c>
      <c r="W362" s="99">
        <f t="shared" si="36"/>
        <v>0</v>
      </c>
    </row>
    <row r="363" ht="63" customHeight="1" spans="1:23">
      <c r="A363" s="108">
        <v>359</v>
      </c>
      <c r="B363" s="148" t="s">
        <v>842</v>
      </c>
      <c r="C363" s="115" t="s">
        <v>843</v>
      </c>
      <c r="D363" s="115" t="s">
        <v>844</v>
      </c>
      <c r="E363" s="152" t="s">
        <v>468</v>
      </c>
      <c r="F363" s="109">
        <v>1000</v>
      </c>
      <c r="G363" s="110"/>
      <c r="H363" s="110"/>
      <c r="I363" s="111">
        <v>5.75302</v>
      </c>
      <c r="J363" s="111"/>
      <c r="K363" s="111">
        <v>4</v>
      </c>
      <c r="L363" s="111">
        <f t="shared" si="32"/>
        <v>5753.02</v>
      </c>
      <c r="M363" s="111">
        <f t="shared" si="33"/>
        <v>0</v>
      </c>
      <c r="N363" s="111">
        <f t="shared" si="34"/>
        <v>4000</v>
      </c>
      <c r="O363" s="149"/>
      <c r="P363" s="126" t="s">
        <v>629</v>
      </c>
      <c r="U363" s="111">
        <v>5.75302</v>
      </c>
      <c r="V363" s="99">
        <f t="shared" si="35"/>
        <v>0</v>
      </c>
      <c r="W363" s="99">
        <f t="shared" si="36"/>
        <v>5.75302</v>
      </c>
    </row>
    <row r="364" ht="22" customHeight="1" spans="1:23">
      <c r="A364" s="108">
        <v>360</v>
      </c>
      <c r="B364" s="148" t="s">
        <v>845</v>
      </c>
      <c r="C364" s="115" t="s">
        <v>846</v>
      </c>
      <c r="D364" s="115" t="s">
        <v>847</v>
      </c>
      <c r="E364" s="152" t="s">
        <v>468</v>
      </c>
      <c r="F364" s="109">
        <v>1600</v>
      </c>
      <c r="G364" s="110"/>
      <c r="H364" s="110"/>
      <c r="I364" s="111">
        <v>5.721846</v>
      </c>
      <c r="J364" s="111"/>
      <c r="K364" s="111">
        <v>4</v>
      </c>
      <c r="L364" s="111">
        <f t="shared" si="32"/>
        <v>9154.9536</v>
      </c>
      <c r="M364" s="111">
        <f t="shared" si="33"/>
        <v>0</v>
      </c>
      <c r="N364" s="111">
        <f t="shared" si="34"/>
        <v>6400</v>
      </c>
      <c r="O364" s="149"/>
      <c r="P364" s="116" t="s">
        <v>79</v>
      </c>
      <c r="U364" s="111">
        <v>5.721846</v>
      </c>
      <c r="V364" s="99">
        <f t="shared" si="35"/>
        <v>0</v>
      </c>
      <c r="W364" s="99">
        <f t="shared" si="36"/>
        <v>5.721846</v>
      </c>
    </row>
    <row r="365" ht="22" customHeight="1" spans="1:23">
      <c r="A365" s="108">
        <v>361</v>
      </c>
      <c r="B365" s="148" t="s">
        <v>848</v>
      </c>
      <c r="C365" s="115" t="s">
        <v>849</v>
      </c>
      <c r="D365" s="115" t="s">
        <v>850</v>
      </c>
      <c r="E365" s="152" t="s">
        <v>468</v>
      </c>
      <c r="F365" s="109">
        <v>4000</v>
      </c>
      <c r="G365" s="110"/>
      <c r="H365" s="110"/>
      <c r="I365" s="111">
        <v>11.3539959</v>
      </c>
      <c r="J365" s="111"/>
      <c r="K365" s="111">
        <v>8</v>
      </c>
      <c r="L365" s="111">
        <f t="shared" si="32"/>
        <v>45415.9836</v>
      </c>
      <c r="M365" s="111">
        <f t="shared" si="33"/>
        <v>0</v>
      </c>
      <c r="N365" s="111">
        <f t="shared" si="34"/>
        <v>32000</v>
      </c>
      <c r="O365" s="149"/>
      <c r="P365" s="116" t="s">
        <v>79</v>
      </c>
      <c r="U365" s="111">
        <v>11.3539959</v>
      </c>
      <c r="V365" s="99">
        <f t="shared" si="35"/>
        <v>0</v>
      </c>
      <c r="W365" s="99">
        <f t="shared" si="36"/>
        <v>11.3539959</v>
      </c>
    </row>
    <row r="366" ht="22" customHeight="1" spans="1:23">
      <c r="A366" s="108">
        <v>362</v>
      </c>
      <c r="B366" s="148" t="s">
        <v>851</v>
      </c>
      <c r="C366" s="115" t="s">
        <v>849</v>
      </c>
      <c r="D366" s="115" t="s">
        <v>852</v>
      </c>
      <c r="E366" s="152" t="s">
        <v>468</v>
      </c>
      <c r="F366" s="109">
        <v>1000</v>
      </c>
      <c r="G366" s="110"/>
      <c r="H366" s="110"/>
      <c r="I366" s="111">
        <v>11.3739756</v>
      </c>
      <c r="J366" s="111"/>
      <c r="K366" s="111">
        <v>8</v>
      </c>
      <c r="L366" s="111">
        <f t="shared" si="32"/>
        <v>11373.9756</v>
      </c>
      <c r="M366" s="111">
        <f t="shared" si="33"/>
        <v>0</v>
      </c>
      <c r="N366" s="111">
        <f t="shared" si="34"/>
        <v>8000</v>
      </c>
      <c r="O366" s="149"/>
      <c r="P366" s="116" t="s">
        <v>79</v>
      </c>
      <c r="U366" s="111">
        <v>11.3739756</v>
      </c>
      <c r="V366" s="99">
        <f t="shared" si="35"/>
        <v>0</v>
      </c>
      <c r="W366" s="99">
        <f t="shared" si="36"/>
        <v>11.3739756</v>
      </c>
    </row>
    <row r="367" ht="22" customHeight="1" spans="1:23">
      <c r="A367" s="108">
        <v>363</v>
      </c>
      <c r="B367" s="148" t="s">
        <v>853</v>
      </c>
      <c r="C367" s="115" t="s">
        <v>854</v>
      </c>
      <c r="D367" s="115" t="s">
        <v>855</v>
      </c>
      <c r="E367" s="109" t="s">
        <v>856</v>
      </c>
      <c r="F367" s="109">
        <v>20</v>
      </c>
      <c r="G367" s="110"/>
      <c r="H367" s="110"/>
      <c r="I367" s="111">
        <v>11.80361</v>
      </c>
      <c r="J367" s="111"/>
      <c r="K367" s="111">
        <v>8</v>
      </c>
      <c r="L367" s="111">
        <f t="shared" si="32"/>
        <v>236.0722</v>
      </c>
      <c r="M367" s="111">
        <f t="shared" si="33"/>
        <v>0</v>
      </c>
      <c r="N367" s="111">
        <f t="shared" si="34"/>
        <v>160</v>
      </c>
      <c r="O367" s="149"/>
      <c r="P367" s="116" t="s">
        <v>79</v>
      </c>
      <c r="U367" s="111">
        <v>11.80361</v>
      </c>
      <c r="V367" s="99">
        <f t="shared" si="35"/>
        <v>0</v>
      </c>
      <c r="W367" s="99">
        <f t="shared" si="36"/>
        <v>11.80361</v>
      </c>
    </row>
    <row r="368" ht="22" customHeight="1" spans="1:23">
      <c r="A368" s="108">
        <v>364</v>
      </c>
      <c r="B368" s="148" t="s">
        <v>857</v>
      </c>
      <c r="C368" s="115" t="s">
        <v>858</v>
      </c>
      <c r="D368" s="115" t="s">
        <v>859</v>
      </c>
      <c r="E368" s="109" t="s">
        <v>856</v>
      </c>
      <c r="F368" s="109">
        <v>20</v>
      </c>
      <c r="G368" s="110"/>
      <c r="H368" s="110"/>
      <c r="I368" s="111">
        <v>11.54855</v>
      </c>
      <c r="J368" s="111"/>
      <c r="K368" s="111">
        <v>8</v>
      </c>
      <c r="L368" s="111">
        <f t="shared" si="32"/>
        <v>230.971</v>
      </c>
      <c r="M368" s="111">
        <f t="shared" si="33"/>
        <v>0</v>
      </c>
      <c r="N368" s="111">
        <f t="shared" si="34"/>
        <v>160</v>
      </c>
      <c r="O368" s="149"/>
      <c r="P368" s="116" t="s">
        <v>79</v>
      </c>
      <c r="U368" s="111">
        <v>11.54855</v>
      </c>
      <c r="V368" s="99">
        <f t="shared" si="35"/>
        <v>0</v>
      </c>
      <c r="W368" s="99">
        <f t="shared" si="36"/>
        <v>11.54855</v>
      </c>
    </row>
    <row r="369" ht="22" customHeight="1" spans="1:23">
      <c r="A369" s="108">
        <v>365</v>
      </c>
      <c r="B369" s="148" t="s">
        <v>860</v>
      </c>
      <c r="C369" s="115" t="s">
        <v>861</v>
      </c>
      <c r="D369" s="115" t="s">
        <v>862</v>
      </c>
      <c r="E369" s="152" t="s">
        <v>468</v>
      </c>
      <c r="F369" s="109">
        <v>500</v>
      </c>
      <c r="G369" s="110"/>
      <c r="H369" s="110"/>
      <c r="I369" s="111">
        <v>5.7613803</v>
      </c>
      <c r="J369" s="111"/>
      <c r="K369" s="111">
        <v>4</v>
      </c>
      <c r="L369" s="111">
        <f t="shared" si="32"/>
        <v>2880.69015</v>
      </c>
      <c r="M369" s="111">
        <f t="shared" si="33"/>
        <v>0</v>
      </c>
      <c r="N369" s="111">
        <f t="shared" si="34"/>
        <v>2000</v>
      </c>
      <c r="O369" s="149"/>
      <c r="P369" s="116" t="s">
        <v>79</v>
      </c>
      <c r="U369" s="111">
        <v>5.7613803</v>
      </c>
      <c r="V369" s="99">
        <f t="shared" si="35"/>
        <v>0</v>
      </c>
      <c r="W369" s="99">
        <f t="shared" si="36"/>
        <v>5.7613803</v>
      </c>
    </row>
    <row r="370" ht="22" customHeight="1" spans="1:23">
      <c r="A370" s="108">
        <v>366</v>
      </c>
      <c r="B370" s="148" t="s">
        <v>863</v>
      </c>
      <c r="C370" s="115" t="s">
        <v>864</v>
      </c>
      <c r="D370" s="115" t="s">
        <v>865</v>
      </c>
      <c r="E370" s="152" t="s">
        <v>468</v>
      </c>
      <c r="F370" s="109">
        <v>500</v>
      </c>
      <c r="G370" s="110"/>
      <c r="H370" s="110"/>
      <c r="I370" s="111">
        <v>5.855044</v>
      </c>
      <c r="J370" s="111"/>
      <c r="K370" s="111">
        <v>4</v>
      </c>
      <c r="L370" s="111">
        <f t="shared" si="32"/>
        <v>2927.522</v>
      </c>
      <c r="M370" s="111">
        <f t="shared" si="33"/>
        <v>0</v>
      </c>
      <c r="N370" s="111">
        <f t="shared" si="34"/>
        <v>2000</v>
      </c>
      <c r="O370" s="149"/>
      <c r="P370" s="116" t="s">
        <v>79</v>
      </c>
      <c r="U370" s="111">
        <v>5.855044</v>
      </c>
      <c r="V370" s="99">
        <f t="shared" si="35"/>
        <v>0</v>
      </c>
      <c r="W370" s="99">
        <f t="shared" si="36"/>
        <v>5.855044</v>
      </c>
    </row>
    <row r="371" ht="22" customHeight="1" spans="1:23">
      <c r="A371" s="108">
        <v>367</v>
      </c>
      <c r="B371" s="148" t="s">
        <v>866</v>
      </c>
      <c r="C371" s="115" t="s">
        <v>861</v>
      </c>
      <c r="D371" s="115" t="s">
        <v>862</v>
      </c>
      <c r="E371" s="152" t="s">
        <v>468</v>
      </c>
      <c r="F371" s="109">
        <v>2500</v>
      </c>
      <c r="G371" s="110"/>
      <c r="H371" s="110"/>
      <c r="I371" s="111">
        <v>5.7613803</v>
      </c>
      <c r="J371" s="111"/>
      <c r="K371" s="111">
        <v>4</v>
      </c>
      <c r="L371" s="111">
        <f t="shared" si="32"/>
        <v>14403.45075</v>
      </c>
      <c r="M371" s="111">
        <f t="shared" si="33"/>
        <v>0</v>
      </c>
      <c r="N371" s="111">
        <f t="shared" si="34"/>
        <v>10000</v>
      </c>
      <c r="O371" s="149"/>
      <c r="P371" s="116" t="s">
        <v>79</v>
      </c>
      <c r="U371" s="111">
        <v>5.7613803</v>
      </c>
      <c r="V371" s="99">
        <f t="shared" si="35"/>
        <v>0</v>
      </c>
      <c r="W371" s="99">
        <f t="shared" si="36"/>
        <v>5.7613803</v>
      </c>
    </row>
    <row r="372" ht="22" customHeight="1" spans="1:23">
      <c r="A372" s="108">
        <v>368</v>
      </c>
      <c r="B372" s="148" t="s">
        <v>867</v>
      </c>
      <c r="C372" s="115" t="s">
        <v>861</v>
      </c>
      <c r="D372" s="115" t="s">
        <v>868</v>
      </c>
      <c r="E372" s="152" t="s">
        <v>468</v>
      </c>
      <c r="F372" s="109">
        <v>4000</v>
      </c>
      <c r="G372" s="110"/>
      <c r="H372" s="110"/>
      <c r="I372" s="111">
        <v>5.8050239</v>
      </c>
      <c r="J372" s="111"/>
      <c r="K372" s="111">
        <v>4</v>
      </c>
      <c r="L372" s="111">
        <f t="shared" si="32"/>
        <v>23220.0956</v>
      </c>
      <c r="M372" s="111">
        <f t="shared" si="33"/>
        <v>0</v>
      </c>
      <c r="N372" s="111">
        <f t="shared" si="34"/>
        <v>16000</v>
      </c>
      <c r="O372" s="149"/>
      <c r="P372" s="116" t="s">
        <v>79</v>
      </c>
      <c r="U372" s="111">
        <v>5.8050239</v>
      </c>
      <c r="V372" s="99">
        <f t="shared" si="35"/>
        <v>0</v>
      </c>
      <c r="W372" s="99">
        <f t="shared" si="36"/>
        <v>5.8050239</v>
      </c>
    </row>
    <row r="373" ht="22" customHeight="1" spans="1:23">
      <c r="A373" s="108">
        <v>369</v>
      </c>
      <c r="B373" s="148" t="s">
        <v>869</v>
      </c>
      <c r="C373" s="115" t="s">
        <v>870</v>
      </c>
      <c r="D373" s="115" t="s">
        <v>871</v>
      </c>
      <c r="E373" s="152" t="s">
        <v>468</v>
      </c>
      <c r="F373" s="109">
        <v>400</v>
      </c>
      <c r="G373" s="110"/>
      <c r="H373" s="110"/>
      <c r="I373" s="111">
        <v>5.7397002</v>
      </c>
      <c r="J373" s="111"/>
      <c r="K373" s="111">
        <v>4</v>
      </c>
      <c r="L373" s="111">
        <f t="shared" si="32"/>
        <v>2295.88008</v>
      </c>
      <c r="M373" s="111">
        <f t="shared" si="33"/>
        <v>0</v>
      </c>
      <c r="N373" s="111">
        <f t="shared" si="34"/>
        <v>1600</v>
      </c>
      <c r="O373" s="149"/>
      <c r="P373" s="116" t="s">
        <v>79</v>
      </c>
      <c r="U373" s="111">
        <v>5.7397002</v>
      </c>
      <c r="V373" s="99">
        <f t="shared" si="35"/>
        <v>0</v>
      </c>
      <c r="W373" s="99">
        <f t="shared" si="36"/>
        <v>5.7397002</v>
      </c>
    </row>
    <row r="374" ht="22" customHeight="1" spans="1:23">
      <c r="A374" s="108">
        <v>370</v>
      </c>
      <c r="B374" s="148" t="s">
        <v>872</v>
      </c>
      <c r="C374" s="115" t="s">
        <v>870</v>
      </c>
      <c r="D374" s="115" t="s">
        <v>873</v>
      </c>
      <c r="E374" s="152" t="s">
        <v>468</v>
      </c>
      <c r="F374" s="109">
        <v>800</v>
      </c>
      <c r="G374" s="110"/>
      <c r="H374" s="110"/>
      <c r="I374" s="111">
        <v>5.7705908</v>
      </c>
      <c r="J374" s="111"/>
      <c r="K374" s="111">
        <v>4</v>
      </c>
      <c r="L374" s="111">
        <f t="shared" si="32"/>
        <v>4616.47264</v>
      </c>
      <c r="M374" s="111">
        <f t="shared" si="33"/>
        <v>0</v>
      </c>
      <c r="N374" s="111">
        <f t="shared" si="34"/>
        <v>3200</v>
      </c>
      <c r="O374" s="149"/>
      <c r="P374" s="116" t="s">
        <v>79</v>
      </c>
      <c r="U374" s="111">
        <v>5.7705908</v>
      </c>
      <c r="V374" s="99">
        <f t="shared" si="35"/>
        <v>0</v>
      </c>
      <c r="W374" s="99">
        <f t="shared" si="36"/>
        <v>5.7705908</v>
      </c>
    </row>
    <row r="375" ht="22" customHeight="1" spans="1:23">
      <c r="A375" s="108">
        <v>371</v>
      </c>
      <c r="B375" s="148" t="s">
        <v>874</v>
      </c>
      <c r="C375" s="115" t="s">
        <v>870</v>
      </c>
      <c r="D375" s="115" t="s">
        <v>875</v>
      </c>
      <c r="E375" s="152" t="s">
        <v>468</v>
      </c>
      <c r="F375" s="109">
        <v>400</v>
      </c>
      <c r="G375" s="110"/>
      <c r="H375" s="110"/>
      <c r="I375" s="111">
        <v>5.7307731</v>
      </c>
      <c r="J375" s="111"/>
      <c r="K375" s="111">
        <v>4</v>
      </c>
      <c r="L375" s="111">
        <f t="shared" si="32"/>
        <v>2292.30924</v>
      </c>
      <c r="M375" s="111">
        <f t="shared" si="33"/>
        <v>0</v>
      </c>
      <c r="N375" s="111">
        <f t="shared" si="34"/>
        <v>1600</v>
      </c>
      <c r="O375" s="149"/>
      <c r="P375" s="116" t="s">
        <v>79</v>
      </c>
      <c r="U375" s="111">
        <v>5.7307731</v>
      </c>
      <c r="V375" s="99">
        <f t="shared" si="35"/>
        <v>0</v>
      </c>
      <c r="W375" s="99">
        <f t="shared" si="36"/>
        <v>5.7307731</v>
      </c>
    </row>
    <row r="376" ht="56" customHeight="1" spans="1:23">
      <c r="A376" s="108">
        <v>372</v>
      </c>
      <c r="B376" s="148" t="s">
        <v>876</v>
      </c>
      <c r="C376" s="115" t="s">
        <v>375</v>
      </c>
      <c r="D376" s="115" t="s">
        <v>350</v>
      </c>
      <c r="E376" s="137" t="s">
        <v>351</v>
      </c>
      <c r="F376" s="177">
        <v>5.48</v>
      </c>
      <c r="G376" s="110"/>
      <c r="H376" s="110"/>
      <c r="I376" s="111">
        <v>8924.38705752212</v>
      </c>
      <c r="J376" s="111">
        <v>4700</v>
      </c>
      <c r="K376" s="111">
        <v>2600</v>
      </c>
      <c r="L376" s="111">
        <f t="shared" si="32"/>
        <v>48905.6410752212</v>
      </c>
      <c r="M376" s="111">
        <f t="shared" si="33"/>
        <v>25756</v>
      </c>
      <c r="N376" s="111">
        <f t="shared" si="34"/>
        <v>14248</v>
      </c>
      <c r="O376" s="149"/>
      <c r="P376" s="116" t="s">
        <v>596</v>
      </c>
      <c r="U376" s="111">
        <v>8924.38705752212</v>
      </c>
      <c r="V376" s="99">
        <f t="shared" si="35"/>
        <v>0</v>
      </c>
      <c r="W376" s="99">
        <f t="shared" si="36"/>
        <v>4224.38705752212</v>
      </c>
    </row>
    <row r="377" ht="22" customHeight="1" spans="1:23">
      <c r="A377" s="108">
        <v>373</v>
      </c>
      <c r="B377" s="108">
        <v>14</v>
      </c>
      <c r="C377" s="138" t="s">
        <v>877</v>
      </c>
      <c r="D377" s="115"/>
      <c r="E377" s="108"/>
      <c r="F377" s="108"/>
      <c r="G377" s="110"/>
      <c r="H377" s="110"/>
      <c r="I377" s="111">
        <v>0</v>
      </c>
      <c r="J377" s="111">
        <v>0</v>
      </c>
      <c r="K377" s="111">
        <v>0</v>
      </c>
      <c r="L377" s="111">
        <f>SUM(L378:L388)</f>
        <v>1290818.43065178</v>
      </c>
      <c r="M377" s="111">
        <f>SUM(M378:M388)</f>
        <v>428691.062</v>
      </c>
      <c r="N377" s="111">
        <f>SUM(N378:N388)</f>
        <v>204200</v>
      </c>
      <c r="O377" s="149"/>
      <c r="P377" s="116"/>
      <c r="U377" s="111">
        <v>0</v>
      </c>
      <c r="V377" s="99">
        <f t="shared" si="35"/>
        <v>0</v>
      </c>
      <c r="W377" s="99">
        <f t="shared" si="36"/>
        <v>0</v>
      </c>
    </row>
    <row r="378" ht="78" customHeight="1" spans="1:23">
      <c r="A378" s="108">
        <v>374</v>
      </c>
      <c r="B378" s="148" t="s">
        <v>878</v>
      </c>
      <c r="C378" s="115" t="s">
        <v>879</v>
      </c>
      <c r="D378" s="115" t="s">
        <v>880</v>
      </c>
      <c r="E378" s="137" t="s">
        <v>336</v>
      </c>
      <c r="F378" s="108">
        <v>2</v>
      </c>
      <c r="G378" s="110">
        <v>3</v>
      </c>
      <c r="H378" s="110">
        <v>6</v>
      </c>
      <c r="I378" s="111">
        <v>28866.32</v>
      </c>
      <c r="J378" s="111">
        <v>0</v>
      </c>
      <c r="K378" s="111">
        <v>20000</v>
      </c>
      <c r="L378" s="111">
        <f t="shared" si="32"/>
        <v>57732.64</v>
      </c>
      <c r="M378" s="111">
        <f t="shared" si="33"/>
        <v>0</v>
      </c>
      <c r="N378" s="111">
        <f t="shared" si="34"/>
        <v>40000</v>
      </c>
      <c r="O378" s="149"/>
      <c r="P378" s="116" t="s">
        <v>442</v>
      </c>
      <c r="U378" s="111">
        <v>25833</v>
      </c>
      <c r="V378" s="99">
        <f t="shared" si="35"/>
        <v>3033.32</v>
      </c>
      <c r="W378" s="99">
        <f t="shared" si="36"/>
        <v>28866.32</v>
      </c>
    </row>
    <row r="379" ht="22" customHeight="1" spans="1:23">
      <c r="A379" s="108">
        <v>375</v>
      </c>
      <c r="B379" s="108">
        <v>14.2</v>
      </c>
      <c r="C379" s="138" t="s">
        <v>316</v>
      </c>
      <c r="D379" s="115"/>
      <c r="E379" s="108"/>
      <c r="F379" s="108"/>
      <c r="G379" s="110"/>
      <c r="H379" s="110"/>
      <c r="I379" s="111">
        <v>0</v>
      </c>
      <c r="J379" s="111">
        <v>0</v>
      </c>
      <c r="K379" s="111">
        <v>0</v>
      </c>
      <c r="L379" s="111">
        <f t="shared" si="32"/>
        <v>0</v>
      </c>
      <c r="M379" s="111">
        <f t="shared" si="33"/>
        <v>0</v>
      </c>
      <c r="N379" s="111">
        <f t="shared" si="34"/>
        <v>0</v>
      </c>
      <c r="O379" s="149"/>
      <c r="P379" s="116"/>
      <c r="U379" s="111">
        <v>0</v>
      </c>
      <c r="V379" s="99">
        <f t="shared" si="35"/>
        <v>0</v>
      </c>
      <c r="W379" s="99">
        <f t="shared" si="36"/>
        <v>0</v>
      </c>
    </row>
    <row r="380" ht="90" customHeight="1" spans="1:23">
      <c r="A380" s="108">
        <v>376</v>
      </c>
      <c r="B380" s="148" t="s">
        <v>881</v>
      </c>
      <c r="C380" s="138" t="s">
        <v>882</v>
      </c>
      <c r="D380" s="115" t="s">
        <v>115</v>
      </c>
      <c r="E380" s="117" t="s">
        <v>59</v>
      </c>
      <c r="F380" s="110">
        <v>150</v>
      </c>
      <c r="G380" s="110"/>
      <c r="H380" s="110"/>
      <c r="I380" s="111">
        <v>1020.20900155752</v>
      </c>
      <c r="J380" s="111">
        <v>260</v>
      </c>
      <c r="K380" s="111">
        <v>335</v>
      </c>
      <c r="L380" s="111">
        <f t="shared" si="32"/>
        <v>153031.350233628</v>
      </c>
      <c r="M380" s="111">
        <f t="shared" si="33"/>
        <v>39000</v>
      </c>
      <c r="N380" s="111">
        <f t="shared" si="34"/>
        <v>50250</v>
      </c>
      <c r="O380" s="149"/>
      <c r="P380" s="116" t="s">
        <v>60</v>
      </c>
      <c r="U380" s="111">
        <v>980.970193805309</v>
      </c>
      <c r="V380" s="99">
        <f t="shared" si="35"/>
        <v>39.238807752211</v>
      </c>
      <c r="W380" s="99">
        <f t="shared" si="36"/>
        <v>760.20900155752</v>
      </c>
    </row>
    <row r="381" ht="42" customHeight="1" spans="1:23">
      <c r="A381" s="108">
        <v>377</v>
      </c>
      <c r="B381" s="148" t="s">
        <v>883</v>
      </c>
      <c r="C381" s="138" t="s">
        <v>884</v>
      </c>
      <c r="D381" s="115" t="s">
        <v>885</v>
      </c>
      <c r="E381" s="108" t="s">
        <v>886</v>
      </c>
      <c r="F381" s="108">
        <v>520</v>
      </c>
      <c r="G381" s="110"/>
      <c r="H381" s="110"/>
      <c r="I381" s="111">
        <v>117.352123881062</v>
      </c>
      <c r="J381" s="111">
        <v>10.44435</v>
      </c>
      <c r="K381" s="111">
        <v>50</v>
      </c>
      <c r="L381" s="111">
        <f t="shared" si="32"/>
        <v>61023.1044181521</v>
      </c>
      <c r="M381" s="111">
        <f t="shared" si="33"/>
        <v>5431.062</v>
      </c>
      <c r="N381" s="111">
        <f t="shared" si="34"/>
        <v>26000</v>
      </c>
      <c r="O381" s="149"/>
      <c r="P381" s="116" t="s">
        <v>98</v>
      </c>
      <c r="U381" s="111">
        <v>112.838580654867</v>
      </c>
      <c r="V381" s="99">
        <f t="shared" si="35"/>
        <v>4.513543226195</v>
      </c>
      <c r="W381" s="99">
        <f t="shared" si="36"/>
        <v>106.907773881062</v>
      </c>
    </row>
    <row r="382" ht="32" customHeight="1" spans="1:23">
      <c r="A382" s="108">
        <v>378</v>
      </c>
      <c r="B382" s="148" t="s">
        <v>887</v>
      </c>
      <c r="C382" s="138" t="s">
        <v>888</v>
      </c>
      <c r="D382" s="115" t="s">
        <v>889</v>
      </c>
      <c r="E382" s="108" t="s">
        <v>395</v>
      </c>
      <c r="F382" s="108">
        <v>2</v>
      </c>
      <c r="G382" s="110"/>
      <c r="H382" s="110"/>
      <c r="I382" s="111">
        <v>26299.52</v>
      </c>
      <c r="J382" s="111">
        <v>0</v>
      </c>
      <c r="K382" s="111">
        <v>0</v>
      </c>
      <c r="L382" s="111">
        <f t="shared" si="32"/>
        <v>52599.04</v>
      </c>
      <c r="M382" s="111">
        <f t="shared" si="33"/>
        <v>0</v>
      </c>
      <c r="N382" s="111">
        <f t="shared" si="34"/>
        <v>0</v>
      </c>
      <c r="O382" s="149"/>
      <c r="P382" s="116" t="s">
        <v>890</v>
      </c>
      <c r="U382" s="111">
        <v>25288</v>
      </c>
      <c r="V382" s="99">
        <f t="shared" si="35"/>
        <v>1011.52</v>
      </c>
      <c r="W382" s="99">
        <f t="shared" si="36"/>
        <v>26299.52</v>
      </c>
    </row>
    <row r="383" ht="45" customHeight="1" spans="1:23">
      <c r="A383" s="108">
        <v>379</v>
      </c>
      <c r="B383" s="148" t="s">
        <v>891</v>
      </c>
      <c r="C383" s="151" t="s">
        <v>120</v>
      </c>
      <c r="D383" s="115" t="s">
        <v>350</v>
      </c>
      <c r="E383" s="137" t="s">
        <v>351</v>
      </c>
      <c r="F383" s="110">
        <v>17</v>
      </c>
      <c r="G383" s="110"/>
      <c r="H383" s="110"/>
      <c r="I383" s="124">
        <v>5161</v>
      </c>
      <c r="J383" s="124">
        <v>3250</v>
      </c>
      <c r="K383" s="124">
        <v>850</v>
      </c>
      <c r="L383" s="111">
        <f t="shared" si="32"/>
        <v>87737</v>
      </c>
      <c r="M383" s="111">
        <f t="shared" si="33"/>
        <v>55250</v>
      </c>
      <c r="N383" s="111">
        <f t="shared" si="34"/>
        <v>14450</v>
      </c>
      <c r="O383" s="149"/>
      <c r="P383" s="116" t="s">
        <v>65</v>
      </c>
      <c r="U383" s="111">
        <v>5361.39168141593</v>
      </c>
      <c r="V383" s="99">
        <f t="shared" si="35"/>
        <v>-200.39168141593</v>
      </c>
      <c r="W383" s="99">
        <f t="shared" si="36"/>
        <v>1911</v>
      </c>
    </row>
    <row r="384" ht="78" customHeight="1" spans="1:23">
      <c r="A384" s="108">
        <v>380</v>
      </c>
      <c r="B384" s="148" t="s">
        <v>892</v>
      </c>
      <c r="C384" s="138" t="s">
        <v>893</v>
      </c>
      <c r="D384" s="115" t="s">
        <v>894</v>
      </c>
      <c r="E384" s="129" t="s">
        <v>74</v>
      </c>
      <c r="F384" s="110">
        <v>600</v>
      </c>
      <c r="G384" s="110"/>
      <c r="H384" s="110"/>
      <c r="I384" s="99">
        <v>248</v>
      </c>
      <c r="J384" s="111">
        <v>56.35</v>
      </c>
      <c r="K384" s="111">
        <v>35</v>
      </c>
      <c r="L384" s="111">
        <f t="shared" si="32"/>
        <v>148800</v>
      </c>
      <c r="M384" s="111">
        <f t="shared" si="33"/>
        <v>33810</v>
      </c>
      <c r="N384" s="111">
        <f t="shared" si="34"/>
        <v>21000</v>
      </c>
      <c r="O384" s="149"/>
      <c r="P384" s="116" t="s">
        <v>895</v>
      </c>
      <c r="U384" s="111">
        <v>233.575465292035</v>
      </c>
      <c r="V384" s="99">
        <f t="shared" si="35"/>
        <v>14.424534707965</v>
      </c>
      <c r="W384" s="99">
        <f t="shared" si="36"/>
        <v>191.65</v>
      </c>
    </row>
    <row r="385" s="98" customFormat="1" ht="73" customHeight="1" spans="1:23">
      <c r="A385" s="119">
        <v>381</v>
      </c>
      <c r="B385" s="174" t="s">
        <v>896</v>
      </c>
      <c r="C385" s="139" t="s">
        <v>897</v>
      </c>
      <c r="D385" s="121"/>
      <c r="E385" s="133" t="s">
        <v>59</v>
      </c>
      <c r="F385" s="123">
        <v>7500</v>
      </c>
      <c r="G385" s="123"/>
      <c r="H385" s="123"/>
      <c r="I385" s="124">
        <v>26</v>
      </c>
      <c r="J385" s="124">
        <v>0</v>
      </c>
      <c r="K385" s="124">
        <v>2</v>
      </c>
      <c r="L385" s="124">
        <f t="shared" si="32"/>
        <v>195000</v>
      </c>
      <c r="M385" s="124">
        <f t="shared" si="33"/>
        <v>0</v>
      </c>
      <c r="N385" s="124">
        <f t="shared" si="34"/>
        <v>15000</v>
      </c>
      <c r="O385" s="162"/>
      <c r="P385" s="126" t="s">
        <v>224</v>
      </c>
      <c r="Q385" s="98" t="s">
        <v>898</v>
      </c>
      <c r="R385" s="98">
        <v>26</v>
      </c>
      <c r="S385" s="98">
        <f>F385*R385</f>
        <v>195000</v>
      </c>
      <c r="U385" s="111">
        <v>51.8404</v>
      </c>
      <c r="V385" s="99">
        <f t="shared" si="35"/>
        <v>-25.8404</v>
      </c>
      <c r="W385" s="99">
        <f t="shared" si="36"/>
        <v>26</v>
      </c>
    </row>
    <row r="386" ht="57" customHeight="1" spans="1:23">
      <c r="A386" s="108">
        <v>382</v>
      </c>
      <c r="B386" s="148" t="s">
        <v>899</v>
      </c>
      <c r="C386" s="115" t="s">
        <v>900</v>
      </c>
      <c r="D386" s="115" t="s">
        <v>901</v>
      </c>
      <c r="E386" s="108" t="s">
        <v>902</v>
      </c>
      <c r="F386" s="108">
        <v>10</v>
      </c>
      <c r="G386" s="110"/>
      <c r="H386" s="110"/>
      <c r="I386" s="111">
        <v>632.2</v>
      </c>
      <c r="J386" s="111">
        <v>0</v>
      </c>
      <c r="K386" s="111">
        <v>200</v>
      </c>
      <c r="L386" s="111">
        <f t="shared" si="32"/>
        <v>6322</v>
      </c>
      <c r="M386" s="111">
        <f t="shared" si="33"/>
        <v>0</v>
      </c>
      <c r="N386" s="111">
        <f t="shared" si="34"/>
        <v>2000</v>
      </c>
      <c r="O386" s="149"/>
      <c r="P386" s="116" t="s">
        <v>903</v>
      </c>
      <c r="Q386" s="99">
        <f>I386*1.04</f>
        <v>657.488</v>
      </c>
      <c r="S386" s="98">
        <f>F386*R386</f>
        <v>0</v>
      </c>
      <c r="U386" s="111">
        <v>632.2</v>
      </c>
      <c r="V386" s="99">
        <f t="shared" si="35"/>
        <v>0</v>
      </c>
      <c r="W386" s="99">
        <f t="shared" si="36"/>
        <v>632.2</v>
      </c>
    </row>
    <row r="387" ht="53" customHeight="1" spans="1:23">
      <c r="A387" s="108">
        <v>383</v>
      </c>
      <c r="B387" s="148" t="s">
        <v>904</v>
      </c>
      <c r="C387" s="134" t="s">
        <v>905</v>
      </c>
      <c r="D387" s="115"/>
      <c r="E387" s="117" t="s">
        <v>59</v>
      </c>
      <c r="F387" s="110">
        <v>3600</v>
      </c>
      <c r="G387" s="110"/>
      <c r="H387" s="110"/>
      <c r="I387" s="111">
        <v>122.52036</v>
      </c>
      <c r="J387" s="111">
        <v>82</v>
      </c>
      <c r="K387" s="111">
        <v>5</v>
      </c>
      <c r="L387" s="111">
        <f t="shared" si="32"/>
        <v>441073.296</v>
      </c>
      <c r="M387" s="111">
        <f t="shared" si="33"/>
        <v>295200</v>
      </c>
      <c r="N387" s="111">
        <f t="shared" si="34"/>
        <v>18000</v>
      </c>
      <c r="O387" s="149"/>
      <c r="P387" s="116" t="s">
        <v>224</v>
      </c>
      <c r="Q387" s="99">
        <f>I387*1.04</f>
        <v>127.4211744</v>
      </c>
      <c r="S387" s="98">
        <f>F387*R387</f>
        <v>0</v>
      </c>
      <c r="U387" s="111">
        <v>122.52036</v>
      </c>
      <c r="V387" s="99">
        <f t="shared" si="35"/>
        <v>0</v>
      </c>
      <c r="W387" s="99">
        <f t="shared" si="36"/>
        <v>40.52036</v>
      </c>
    </row>
    <row r="388" s="98" customFormat="1" ht="66" customHeight="1" spans="1:23">
      <c r="A388" s="119">
        <v>384</v>
      </c>
      <c r="B388" s="174" t="s">
        <v>906</v>
      </c>
      <c r="C388" s="121" t="s">
        <v>907</v>
      </c>
      <c r="D388" s="121"/>
      <c r="E388" s="131" t="s">
        <v>74</v>
      </c>
      <c r="F388" s="123">
        <v>3500</v>
      </c>
      <c r="G388" s="123"/>
      <c r="H388" s="123"/>
      <c r="I388" s="124">
        <v>25</v>
      </c>
      <c r="J388" s="124">
        <v>0</v>
      </c>
      <c r="K388" s="124">
        <v>5</v>
      </c>
      <c r="L388" s="124">
        <f t="shared" si="32"/>
        <v>87500</v>
      </c>
      <c r="M388" s="124">
        <f t="shared" si="33"/>
        <v>0</v>
      </c>
      <c r="N388" s="124">
        <f t="shared" si="34"/>
        <v>17500</v>
      </c>
      <c r="O388" s="162"/>
      <c r="P388" s="126" t="s">
        <v>908</v>
      </c>
      <c r="Q388" s="98" t="s">
        <v>909</v>
      </c>
      <c r="R388" s="98">
        <v>25</v>
      </c>
      <c r="S388" s="98">
        <f>F388*R388</f>
        <v>87500</v>
      </c>
      <c r="U388" s="111">
        <v>56.898</v>
      </c>
      <c r="V388" s="99">
        <f t="shared" si="35"/>
        <v>-31.898</v>
      </c>
      <c r="W388" s="99">
        <f t="shared" si="36"/>
        <v>25</v>
      </c>
    </row>
    <row r="389" ht="22" customHeight="1" spans="1:23">
      <c r="A389" s="108">
        <v>385</v>
      </c>
      <c r="B389" s="108">
        <v>15</v>
      </c>
      <c r="C389" s="138" t="s">
        <v>910</v>
      </c>
      <c r="D389" s="115"/>
      <c r="E389" s="108"/>
      <c r="F389" s="108"/>
      <c r="G389" s="110"/>
      <c r="H389" s="110"/>
      <c r="I389" s="111">
        <v>0</v>
      </c>
      <c r="J389" s="111">
        <v>0</v>
      </c>
      <c r="K389" s="111">
        <v>0</v>
      </c>
      <c r="L389" s="111">
        <f>SUM(L390:L446)</f>
        <v>1912679.09266809</v>
      </c>
      <c r="M389" s="111">
        <f>SUM(M390:M446)</f>
        <v>2072</v>
      </c>
      <c r="N389" s="111">
        <f>SUM(N390:N446)</f>
        <v>962817.37</v>
      </c>
      <c r="O389" s="149"/>
      <c r="P389" s="116"/>
      <c r="U389" s="111">
        <v>0</v>
      </c>
      <c r="V389" s="99">
        <f t="shared" si="35"/>
        <v>0</v>
      </c>
      <c r="W389" s="99">
        <f t="shared" si="36"/>
        <v>0</v>
      </c>
    </row>
    <row r="390" ht="45" customHeight="1" spans="1:23">
      <c r="A390" s="108">
        <v>386</v>
      </c>
      <c r="B390" s="108">
        <v>15.1</v>
      </c>
      <c r="C390" s="138" t="s">
        <v>911</v>
      </c>
      <c r="D390" s="134" t="s">
        <v>912</v>
      </c>
      <c r="E390" s="117" t="s">
        <v>59</v>
      </c>
      <c r="F390" s="136">
        <v>50</v>
      </c>
      <c r="G390" s="110"/>
      <c r="H390" s="110"/>
      <c r="I390" s="111">
        <v>265.524</v>
      </c>
      <c r="J390" s="111">
        <v>0</v>
      </c>
      <c r="K390" s="111">
        <v>50</v>
      </c>
      <c r="L390" s="111">
        <f t="shared" si="32"/>
        <v>13276.2</v>
      </c>
      <c r="M390" s="111">
        <f t="shared" si="33"/>
        <v>0</v>
      </c>
      <c r="N390" s="111">
        <f t="shared" si="34"/>
        <v>2500</v>
      </c>
      <c r="O390" s="149"/>
      <c r="P390" s="116" t="s">
        <v>913</v>
      </c>
      <c r="U390" s="111">
        <v>252.88</v>
      </c>
      <c r="V390" s="99">
        <f t="shared" si="35"/>
        <v>12.644</v>
      </c>
      <c r="W390" s="99">
        <f t="shared" si="36"/>
        <v>265.524</v>
      </c>
    </row>
    <row r="391" ht="22" customHeight="1" spans="1:23">
      <c r="A391" s="108">
        <v>387</v>
      </c>
      <c r="B391" s="108">
        <v>15.2</v>
      </c>
      <c r="C391" s="138" t="s">
        <v>914</v>
      </c>
      <c r="D391" s="134" t="s">
        <v>915</v>
      </c>
      <c r="E391" s="137" t="s">
        <v>351</v>
      </c>
      <c r="F391" s="136">
        <v>97</v>
      </c>
      <c r="G391" s="110"/>
      <c r="H391" s="110"/>
      <c r="I391" s="111">
        <v>796.572</v>
      </c>
      <c r="J391" s="111">
        <v>0</v>
      </c>
      <c r="K391" s="111">
        <v>600</v>
      </c>
      <c r="L391" s="111">
        <f t="shared" ref="L391:L454" si="37">F391*I391</f>
        <v>77267.484</v>
      </c>
      <c r="M391" s="111">
        <f t="shared" ref="M391:M454" si="38">F391*J391</f>
        <v>0</v>
      </c>
      <c r="N391" s="111">
        <f t="shared" ref="N391:N447" si="39">F391*K391</f>
        <v>58200</v>
      </c>
      <c r="O391" s="149"/>
      <c r="P391" s="116" t="s">
        <v>79</v>
      </c>
      <c r="U391" s="111">
        <v>758.64</v>
      </c>
      <c r="V391" s="99">
        <f t="shared" ref="V391:V448" si="40">I391-U391</f>
        <v>37.932</v>
      </c>
      <c r="W391" s="99">
        <f t="shared" ref="W391:W448" si="41">I391-J391</f>
        <v>796.572</v>
      </c>
    </row>
    <row r="392" ht="22" customHeight="1" spans="1:23">
      <c r="A392" s="108">
        <v>388</v>
      </c>
      <c r="B392" s="108">
        <v>15.3</v>
      </c>
      <c r="C392" s="144" t="s">
        <v>916</v>
      </c>
      <c r="D392" s="134" t="s">
        <v>915</v>
      </c>
      <c r="E392" s="129" t="s">
        <v>74</v>
      </c>
      <c r="F392" s="110">
        <v>1100</v>
      </c>
      <c r="G392" s="110"/>
      <c r="H392" s="110"/>
      <c r="I392" s="111">
        <v>26.5524</v>
      </c>
      <c r="J392" s="111">
        <v>0</v>
      </c>
      <c r="K392" s="111">
        <v>20</v>
      </c>
      <c r="L392" s="111">
        <f t="shared" si="37"/>
        <v>29207.64</v>
      </c>
      <c r="M392" s="111">
        <f t="shared" si="38"/>
        <v>0</v>
      </c>
      <c r="N392" s="111">
        <f t="shared" si="39"/>
        <v>22000</v>
      </c>
      <c r="O392" s="112"/>
      <c r="P392" s="116" t="s">
        <v>79</v>
      </c>
      <c r="U392" s="111">
        <v>25.288</v>
      </c>
      <c r="V392" s="99">
        <f t="shared" si="40"/>
        <v>1.2644</v>
      </c>
      <c r="W392" s="99">
        <f t="shared" si="41"/>
        <v>26.5524</v>
      </c>
    </row>
    <row r="393" ht="22" customHeight="1" spans="1:23">
      <c r="A393" s="108">
        <v>389</v>
      </c>
      <c r="B393" s="108">
        <v>15.4</v>
      </c>
      <c r="C393" s="144" t="s">
        <v>917</v>
      </c>
      <c r="D393" s="134" t="s">
        <v>915</v>
      </c>
      <c r="E393" s="129" t="s">
        <v>74</v>
      </c>
      <c r="F393" s="110">
        <v>3780</v>
      </c>
      <c r="G393" s="110"/>
      <c r="H393" s="110"/>
      <c r="I393" s="111">
        <v>26.5524</v>
      </c>
      <c r="J393" s="111">
        <v>0</v>
      </c>
      <c r="K393" s="111">
        <v>20</v>
      </c>
      <c r="L393" s="111">
        <f t="shared" si="37"/>
        <v>100368.072</v>
      </c>
      <c r="M393" s="111">
        <f t="shared" si="38"/>
        <v>0</v>
      </c>
      <c r="N393" s="111">
        <f t="shared" si="39"/>
        <v>75600</v>
      </c>
      <c r="O393" s="112"/>
      <c r="P393" s="116" t="s">
        <v>79</v>
      </c>
      <c r="U393" s="111">
        <v>25.288</v>
      </c>
      <c r="V393" s="99">
        <f t="shared" si="40"/>
        <v>1.2644</v>
      </c>
      <c r="W393" s="99">
        <f t="shared" si="41"/>
        <v>26.5524</v>
      </c>
    </row>
    <row r="394" ht="22" customHeight="1" spans="1:23">
      <c r="A394" s="108">
        <v>390</v>
      </c>
      <c r="B394" s="108">
        <v>15.5</v>
      </c>
      <c r="C394" s="186" t="s">
        <v>918</v>
      </c>
      <c r="D394" s="134" t="s">
        <v>915</v>
      </c>
      <c r="E394" s="137" t="s">
        <v>351</v>
      </c>
      <c r="F394" s="136">
        <v>200</v>
      </c>
      <c r="G394" s="110"/>
      <c r="H394" s="110"/>
      <c r="I394" s="111">
        <v>796.572</v>
      </c>
      <c r="J394" s="111">
        <v>0</v>
      </c>
      <c r="K394" s="111">
        <v>600</v>
      </c>
      <c r="L394" s="111">
        <f t="shared" si="37"/>
        <v>159314.4</v>
      </c>
      <c r="M394" s="111">
        <f t="shared" si="38"/>
        <v>0</v>
      </c>
      <c r="N394" s="111">
        <f t="shared" si="39"/>
        <v>120000</v>
      </c>
      <c r="O394" s="149"/>
      <c r="P394" s="116" t="s">
        <v>79</v>
      </c>
      <c r="U394" s="111">
        <v>758.64</v>
      </c>
      <c r="V394" s="99">
        <f t="shared" si="40"/>
        <v>37.932</v>
      </c>
      <c r="W394" s="99">
        <f t="shared" si="41"/>
        <v>796.572</v>
      </c>
    </row>
    <row r="395" ht="22" customHeight="1" spans="1:23">
      <c r="A395" s="108">
        <v>391</v>
      </c>
      <c r="B395" s="108">
        <v>15.6</v>
      </c>
      <c r="C395" s="138" t="s">
        <v>919</v>
      </c>
      <c r="D395" s="115" t="s">
        <v>912</v>
      </c>
      <c r="E395" s="117" t="s">
        <v>59</v>
      </c>
      <c r="F395" s="136">
        <v>25</v>
      </c>
      <c r="G395" s="110"/>
      <c r="H395" s="110"/>
      <c r="I395" s="111">
        <v>265.524</v>
      </c>
      <c r="J395" s="111">
        <v>0</v>
      </c>
      <c r="K395" s="111">
        <v>50</v>
      </c>
      <c r="L395" s="111">
        <f t="shared" si="37"/>
        <v>6638.1</v>
      </c>
      <c r="M395" s="111">
        <f t="shared" si="38"/>
        <v>0</v>
      </c>
      <c r="N395" s="111">
        <f t="shared" si="39"/>
        <v>1250</v>
      </c>
      <c r="O395" s="112"/>
      <c r="P395" s="116" t="s">
        <v>79</v>
      </c>
      <c r="U395" s="111">
        <v>252.88</v>
      </c>
      <c r="V395" s="99">
        <f t="shared" si="40"/>
        <v>12.644</v>
      </c>
      <c r="W395" s="99">
        <f t="shared" si="41"/>
        <v>265.524</v>
      </c>
    </row>
    <row r="396" ht="22" customHeight="1" spans="1:23">
      <c r="A396" s="108">
        <v>392</v>
      </c>
      <c r="B396" s="108">
        <v>15.7</v>
      </c>
      <c r="C396" s="138" t="s">
        <v>920</v>
      </c>
      <c r="D396" s="115" t="s">
        <v>912</v>
      </c>
      <c r="E396" s="117" t="s">
        <v>59</v>
      </c>
      <c r="F396" s="136">
        <v>700</v>
      </c>
      <c r="G396" s="110"/>
      <c r="H396" s="110"/>
      <c r="I396" s="111">
        <v>265.524</v>
      </c>
      <c r="J396" s="111">
        <v>0</v>
      </c>
      <c r="K396" s="111">
        <v>50</v>
      </c>
      <c r="L396" s="111">
        <f t="shared" si="37"/>
        <v>185866.8</v>
      </c>
      <c r="M396" s="111">
        <f t="shared" si="38"/>
        <v>0</v>
      </c>
      <c r="N396" s="111">
        <f t="shared" si="39"/>
        <v>35000</v>
      </c>
      <c r="O396" s="112"/>
      <c r="P396" s="116" t="s">
        <v>79</v>
      </c>
      <c r="U396" s="111">
        <v>252.88</v>
      </c>
      <c r="V396" s="99">
        <f t="shared" si="40"/>
        <v>12.644</v>
      </c>
      <c r="W396" s="99">
        <f t="shared" si="41"/>
        <v>265.524</v>
      </c>
    </row>
    <row r="397" ht="22" customHeight="1" spans="1:23">
      <c r="A397" s="108">
        <v>393</v>
      </c>
      <c r="B397" s="108">
        <v>15.8</v>
      </c>
      <c r="C397" s="115" t="s">
        <v>921</v>
      </c>
      <c r="D397" s="115" t="s">
        <v>912</v>
      </c>
      <c r="E397" s="117" t="s">
        <v>59</v>
      </c>
      <c r="F397" s="136">
        <v>20</v>
      </c>
      <c r="G397" s="110"/>
      <c r="H397" s="110"/>
      <c r="I397" s="111">
        <v>265.524</v>
      </c>
      <c r="J397" s="111">
        <v>0</v>
      </c>
      <c r="K397" s="111">
        <v>50</v>
      </c>
      <c r="L397" s="111">
        <f t="shared" si="37"/>
        <v>5310.48</v>
      </c>
      <c r="M397" s="111">
        <f t="shared" si="38"/>
        <v>0</v>
      </c>
      <c r="N397" s="111">
        <f t="shared" si="39"/>
        <v>1000</v>
      </c>
      <c r="O397" s="112"/>
      <c r="P397" s="116" t="s">
        <v>79</v>
      </c>
      <c r="U397" s="111">
        <v>252.88</v>
      </c>
      <c r="V397" s="99">
        <f t="shared" si="40"/>
        <v>12.644</v>
      </c>
      <c r="W397" s="99">
        <f t="shared" si="41"/>
        <v>265.524</v>
      </c>
    </row>
    <row r="398" ht="22" customHeight="1" spans="1:23">
      <c r="A398" s="108">
        <v>394</v>
      </c>
      <c r="B398" s="108">
        <v>15.9</v>
      </c>
      <c r="C398" s="115" t="s">
        <v>922</v>
      </c>
      <c r="D398" s="115" t="s">
        <v>912</v>
      </c>
      <c r="E398" s="117" t="s">
        <v>59</v>
      </c>
      <c r="F398" s="136">
        <v>40</v>
      </c>
      <c r="G398" s="110"/>
      <c r="H398" s="110"/>
      <c r="I398" s="111">
        <v>265.524</v>
      </c>
      <c r="J398" s="111">
        <v>0</v>
      </c>
      <c r="K398" s="111">
        <v>50</v>
      </c>
      <c r="L398" s="111">
        <f t="shared" si="37"/>
        <v>10620.96</v>
      </c>
      <c r="M398" s="111">
        <f t="shared" si="38"/>
        <v>0</v>
      </c>
      <c r="N398" s="111">
        <f t="shared" si="39"/>
        <v>2000</v>
      </c>
      <c r="O398" s="112"/>
      <c r="P398" s="116" t="s">
        <v>79</v>
      </c>
      <c r="U398" s="111">
        <v>252.88</v>
      </c>
      <c r="V398" s="99">
        <f t="shared" si="40"/>
        <v>12.644</v>
      </c>
      <c r="W398" s="99">
        <f t="shared" si="41"/>
        <v>265.524</v>
      </c>
    </row>
    <row r="399" ht="22" customHeight="1" spans="1:23">
      <c r="A399" s="108">
        <v>395</v>
      </c>
      <c r="B399" s="110">
        <v>15.1</v>
      </c>
      <c r="C399" s="115" t="s">
        <v>923</v>
      </c>
      <c r="D399" s="115" t="s">
        <v>915</v>
      </c>
      <c r="E399" s="137" t="s">
        <v>351</v>
      </c>
      <c r="F399" s="136">
        <v>56</v>
      </c>
      <c r="G399" s="110"/>
      <c r="H399" s="110"/>
      <c r="I399" s="111">
        <v>796.572</v>
      </c>
      <c r="J399" s="111">
        <v>0</v>
      </c>
      <c r="K399" s="111">
        <v>600</v>
      </c>
      <c r="L399" s="111">
        <f t="shared" si="37"/>
        <v>44608.032</v>
      </c>
      <c r="M399" s="111">
        <f t="shared" si="38"/>
        <v>0</v>
      </c>
      <c r="N399" s="111">
        <f t="shared" si="39"/>
        <v>33600</v>
      </c>
      <c r="O399" s="112"/>
      <c r="P399" s="116" t="s">
        <v>79</v>
      </c>
      <c r="U399" s="111">
        <v>758.64</v>
      </c>
      <c r="V399" s="99">
        <f t="shared" si="40"/>
        <v>37.932</v>
      </c>
      <c r="W399" s="99">
        <f t="shared" si="41"/>
        <v>796.572</v>
      </c>
    </row>
    <row r="400" ht="22" customHeight="1" spans="1:23">
      <c r="A400" s="108">
        <v>396</v>
      </c>
      <c r="B400" s="108">
        <v>15.11</v>
      </c>
      <c r="C400" s="115" t="s">
        <v>924</v>
      </c>
      <c r="D400" s="115" t="s">
        <v>915</v>
      </c>
      <c r="E400" s="137" t="s">
        <v>351</v>
      </c>
      <c r="F400" s="136">
        <v>50</v>
      </c>
      <c r="G400" s="110"/>
      <c r="H400" s="110"/>
      <c r="I400" s="111">
        <v>796.572</v>
      </c>
      <c r="J400" s="111">
        <v>0</v>
      </c>
      <c r="K400" s="111">
        <v>600</v>
      </c>
      <c r="L400" s="111">
        <f t="shared" si="37"/>
        <v>39828.6</v>
      </c>
      <c r="M400" s="111">
        <f t="shared" si="38"/>
        <v>0</v>
      </c>
      <c r="N400" s="111">
        <f t="shared" si="39"/>
        <v>30000</v>
      </c>
      <c r="O400" s="112"/>
      <c r="P400" s="116" t="s">
        <v>79</v>
      </c>
      <c r="U400" s="111">
        <v>758.64</v>
      </c>
      <c r="V400" s="99">
        <f t="shared" si="40"/>
        <v>37.932</v>
      </c>
      <c r="W400" s="99">
        <f t="shared" si="41"/>
        <v>796.572</v>
      </c>
    </row>
    <row r="401" ht="22" customHeight="1" spans="1:23">
      <c r="A401" s="108">
        <v>397</v>
      </c>
      <c r="B401" s="108">
        <v>15.12</v>
      </c>
      <c r="C401" s="138" t="s">
        <v>925</v>
      </c>
      <c r="D401" s="115" t="s">
        <v>915</v>
      </c>
      <c r="E401" s="137" t="s">
        <v>351</v>
      </c>
      <c r="F401" s="110">
        <v>60</v>
      </c>
      <c r="G401" s="110"/>
      <c r="H401" s="110"/>
      <c r="I401" s="111">
        <v>796.572</v>
      </c>
      <c r="J401" s="111">
        <v>0</v>
      </c>
      <c r="K401" s="111">
        <v>600</v>
      </c>
      <c r="L401" s="111">
        <f t="shared" si="37"/>
        <v>47794.32</v>
      </c>
      <c r="M401" s="111">
        <f t="shared" si="38"/>
        <v>0</v>
      </c>
      <c r="N401" s="111">
        <f t="shared" si="39"/>
        <v>36000</v>
      </c>
      <c r="O401" s="149"/>
      <c r="P401" s="116" t="s">
        <v>79</v>
      </c>
      <c r="U401" s="111">
        <v>758.64</v>
      </c>
      <c r="V401" s="99">
        <f t="shared" si="40"/>
        <v>37.932</v>
      </c>
      <c r="W401" s="99">
        <f t="shared" si="41"/>
        <v>796.572</v>
      </c>
    </row>
    <row r="402" ht="22" customHeight="1" spans="1:23">
      <c r="A402" s="108">
        <v>398</v>
      </c>
      <c r="B402" s="108">
        <v>15.13</v>
      </c>
      <c r="C402" s="143" t="s">
        <v>926</v>
      </c>
      <c r="D402" s="187" t="s">
        <v>927</v>
      </c>
      <c r="E402" s="129" t="s">
        <v>74</v>
      </c>
      <c r="F402" s="110">
        <v>189</v>
      </c>
      <c r="G402" s="110"/>
      <c r="H402" s="110"/>
      <c r="I402" s="111">
        <v>92.9334</v>
      </c>
      <c r="J402" s="111">
        <v>0</v>
      </c>
      <c r="K402" s="111">
        <v>20</v>
      </c>
      <c r="L402" s="111">
        <f t="shared" si="37"/>
        <v>17564.4126</v>
      </c>
      <c r="M402" s="111">
        <f t="shared" si="38"/>
        <v>0</v>
      </c>
      <c r="N402" s="111">
        <f t="shared" si="39"/>
        <v>3780</v>
      </c>
      <c r="O402" s="112"/>
      <c r="P402" s="116" t="s">
        <v>79</v>
      </c>
      <c r="U402" s="111">
        <v>88.508</v>
      </c>
      <c r="V402" s="99">
        <f t="shared" si="40"/>
        <v>4.42540000000001</v>
      </c>
      <c r="W402" s="99">
        <f t="shared" si="41"/>
        <v>92.9334</v>
      </c>
    </row>
    <row r="403" ht="22" customHeight="1" spans="1:23">
      <c r="A403" s="108">
        <v>399</v>
      </c>
      <c r="B403" s="108">
        <v>15.14</v>
      </c>
      <c r="C403" s="143" t="s">
        <v>928</v>
      </c>
      <c r="D403" s="187" t="s">
        <v>927</v>
      </c>
      <c r="E403" s="129" t="s">
        <v>74</v>
      </c>
      <c r="F403" s="110">
        <v>6.3</v>
      </c>
      <c r="G403" s="110"/>
      <c r="H403" s="110"/>
      <c r="I403" s="111">
        <v>92.9334</v>
      </c>
      <c r="J403" s="111">
        <v>0</v>
      </c>
      <c r="K403" s="111">
        <v>20</v>
      </c>
      <c r="L403" s="111">
        <f t="shared" si="37"/>
        <v>585.48042</v>
      </c>
      <c r="M403" s="111">
        <f t="shared" si="38"/>
        <v>0</v>
      </c>
      <c r="N403" s="111">
        <f t="shared" si="39"/>
        <v>126</v>
      </c>
      <c r="O403" s="112"/>
      <c r="P403" s="116" t="s">
        <v>79</v>
      </c>
      <c r="U403" s="111">
        <v>88.508</v>
      </c>
      <c r="V403" s="99">
        <f t="shared" si="40"/>
        <v>4.42540000000001</v>
      </c>
      <c r="W403" s="99">
        <f t="shared" si="41"/>
        <v>92.9334</v>
      </c>
    </row>
    <row r="404" ht="22" customHeight="1" spans="1:23">
      <c r="A404" s="108">
        <v>400</v>
      </c>
      <c r="B404" s="108">
        <v>15.15</v>
      </c>
      <c r="C404" s="143" t="s">
        <v>929</v>
      </c>
      <c r="D404" s="187" t="s">
        <v>927</v>
      </c>
      <c r="E404" s="129" t="s">
        <v>74</v>
      </c>
      <c r="F404" s="110">
        <v>42</v>
      </c>
      <c r="G404" s="110"/>
      <c r="H404" s="110"/>
      <c r="I404" s="111">
        <v>92.9334</v>
      </c>
      <c r="J404" s="111">
        <v>0</v>
      </c>
      <c r="K404" s="111">
        <v>20</v>
      </c>
      <c r="L404" s="111">
        <f t="shared" si="37"/>
        <v>3903.2028</v>
      </c>
      <c r="M404" s="111">
        <f t="shared" si="38"/>
        <v>0</v>
      </c>
      <c r="N404" s="111">
        <f t="shared" si="39"/>
        <v>840</v>
      </c>
      <c r="O404" s="112"/>
      <c r="P404" s="116" t="s">
        <v>79</v>
      </c>
      <c r="U404" s="111">
        <v>88.508</v>
      </c>
      <c r="V404" s="99">
        <f t="shared" si="40"/>
        <v>4.42540000000001</v>
      </c>
      <c r="W404" s="99">
        <f t="shared" si="41"/>
        <v>92.9334</v>
      </c>
    </row>
    <row r="405" ht="22" customHeight="1" spans="1:23">
      <c r="A405" s="108">
        <v>401</v>
      </c>
      <c r="B405" s="108">
        <v>15.16</v>
      </c>
      <c r="C405" s="143" t="s">
        <v>930</v>
      </c>
      <c r="D405" s="187" t="s">
        <v>927</v>
      </c>
      <c r="E405" s="129" t="s">
        <v>74</v>
      </c>
      <c r="F405" s="110">
        <v>60.9525</v>
      </c>
      <c r="G405" s="110"/>
      <c r="H405" s="110"/>
      <c r="I405" s="111">
        <v>92.9334</v>
      </c>
      <c r="J405" s="111">
        <v>0</v>
      </c>
      <c r="K405" s="111">
        <v>20</v>
      </c>
      <c r="L405" s="111">
        <f t="shared" si="37"/>
        <v>5664.5230635</v>
      </c>
      <c r="M405" s="111">
        <f t="shared" si="38"/>
        <v>0</v>
      </c>
      <c r="N405" s="111">
        <f t="shared" si="39"/>
        <v>1219.05</v>
      </c>
      <c r="O405" s="112"/>
      <c r="P405" s="116" t="s">
        <v>79</v>
      </c>
      <c r="U405" s="111">
        <v>88.508</v>
      </c>
      <c r="V405" s="99">
        <f t="shared" si="40"/>
        <v>4.42540000000001</v>
      </c>
      <c r="W405" s="99">
        <f t="shared" si="41"/>
        <v>92.9334</v>
      </c>
    </row>
    <row r="406" ht="22" customHeight="1" spans="1:23">
      <c r="A406" s="108">
        <v>402</v>
      </c>
      <c r="B406" s="108">
        <v>15.17</v>
      </c>
      <c r="C406" s="143" t="s">
        <v>931</v>
      </c>
      <c r="D406" s="187" t="s">
        <v>932</v>
      </c>
      <c r="E406" s="129" t="s">
        <v>74</v>
      </c>
      <c r="F406" s="110">
        <v>75.6</v>
      </c>
      <c r="G406" s="110"/>
      <c r="H406" s="110"/>
      <c r="I406" s="111">
        <v>92.9334</v>
      </c>
      <c r="J406" s="111">
        <v>0</v>
      </c>
      <c r="K406" s="111">
        <v>20</v>
      </c>
      <c r="L406" s="111">
        <f t="shared" si="37"/>
        <v>7025.76504</v>
      </c>
      <c r="M406" s="111">
        <f t="shared" si="38"/>
        <v>0</v>
      </c>
      <c r="N406" s="111">
        <f t="shared" si="39"/>
        <v>1512</v>
      </c>
      <c r="O406" s="112"/>
      <c r="P406" s="116" t="s">
        <v>79</v>
      </c>
      <c r="U406" s="111">
        <v>88.508</v>
      </c>
      <c r="V406" s="99">
        <f t="shared" si="40"/>
        <v>4.42540000000001</v>
      </c>
      <c r="W406" s="99">
        <f t="shared" si="41"/>
        <v>92.9334</v>
      </c>
    </row>
    <row r="407" ht="22" customHeight="1" spans="1:23">
      <c r="A407" s="108">
        <v>403</v>
      </c>
      <c r="B407" s="108">
        <v>15.18</v>
      </c>
      <c r="C407" s="138" t="s">
        <v>933</v>
      </c>
      <c r="D407" s="115" t="s">
        <v>915</v>
      </c>
      <c r="E407" s="137" t="s">
        <v>351</v>
      </c>
      <c r="F407" s="110">
        <v>5</v>
      </c>
      <c r="G407" s="110"/>
      <c r="H407" s="110"/>
      <c r="I407" s="111">
        <v>663.81</v>
      </c>
      <c r="J407" s="111">
        <v>0</v>
      </c>
      <c r="K407" s="111">
        <v>500</v>
      </c>
      <c r="L407" s="111">
        <f t="shared" si="37"/>
        <v>3319.05</v>
      </c>
      <c r="M407" s="111">
        <f t="shared" si="38"/>
        <v>0</v>
      </c>
      <c r="N407" s="111">
        <f t="shared" si="39"/>
        <v>2500</v>
      </c>
      <c r="O407" s="149"/>
      <c r="P407" s="116" t="s">
        <v>79</v>
      </c>
      <c r="U407" s="111">
        <v>632.2</v>
      </c>
      <c r="V407" s="99">
        <f t="shared" si="40"/>
        <v>31.6099999999999</v>
      </c>
      <c r="W407" s="99">
        <f t="shared" si="41"/>
        <v>663.81</v>
      </c>
    </row>
    <row r="408" ht="22" customHeight="1" spans="1:23">
      <c r="A408" s="108">
        <v>404</v>
      </c>
      <c r="B408" s="108">
        <v>15.19</v>
      </c>
      <c r="C408" s="115" t="s">
        <v>934</v>
      </c>
      <c r="D408" s="115" t="s">
        <v>915</v>
      </c>
      <c r="E408" s="137" t="s">
        <v>351</v>
      </c>
      <c r="F408" s="110">
        <v>40</v>
      </c>
      <c r="G408" s="188"/>
      <c r="H408" s="188"/>
      <c r="I408" s="111">
        <v>663.81</v>
      </c>
      <c r="J408" s="111">
        <v>0</v>
      </c>
      <c r="K408" s="111">
        <v>500</v>
      </c>
      <c r="L408" s="111">
        <f t="shared" si="37"/>
        <v>26552.4</v>
      </c>
      <c r="M408" s="111">
        <f t="shared" si="38"/>
        <v>0</v>
      </c>
      <c r="N408" s="111">
        <f t="shared" si="39"/>
        <v>20000</v>
      </c>
      <c r="O408" s="149"/>
      <c r="P408" s="116" t="s">
        <v>79</v>
      </c>
      <c r="U408" s="111">
        <v>632.2</v>
      </c>
      <c r="V408" s="99">
        <f t="shared" si="40"/>
        <v>31.6099999999999</v>
      </c>
      <c r="W408" s="99">
        <f t="shared" si="41"/>
        <v>663.81</v>
      </c>
    </row>
    <row r="409" ht="30" customHeight="1" spans="1:23">
      <c r="A409" s="108">
        <v>405</v>
      </c>
      <c r="B409" s="110">
        <v>15.2</v>
      </c>
      <c r="C409" s="165" t="s">
        <v>935</v>
      </c>
      <c r="D409" s="115" t="s">
        <v>915</v>
      </c>
      <c r="E409" s="166" t="s">
        <v>301</v>
      </c>
      <c r="F409" s="166">
        <v>1</v>
      </c>
      <c r="G409" s="110"/>
      <c r="H409" s="110"/>
      <c r="I409" s="111">
        <v>28652.4</v>
      </c>
      <c r="J409" s="111">
        <v>0</v>
      </c>
      <c r="K409" s="111">
        <v>10000</v>
      </c>
      <c r="L409" s="111">
        <f t="shared" si="37"/>
        <v>28652.4</v>
      </c>
      <c r="M409" s="111">
        <f t="shared" si="38"/>
        <v>0</v>
      </c>
      <c r="N409" s="111">
        <f t="shared" si="39"/>
        <v>10000</v>
      </c>
      <c r="O409" s="149"/>
      <c r="P409" s="116" t="s">
        <v>79</v>
      </c>
      <c r="U409" s="111">
        <v>25288</v>
      </c>
      <c r="V409" s="99">
        <f t="shared" si="40"/>
        <v>3364.4</v>
      </c>
      <c r="W409" s="99">
        <f t="shared" si="41"/>
        <v>28652.4</v>
      </c>
    </row>
    <row r="410" ht="33" customHeight="1" spans="1:23">
      <c r="A410" s="108">
        <v>406</v>
      </c>
      <c r="B410" s="108">
        <v>15.21</v>
      </c>
      <c r="C410" s="165" t="s">
        <v>936</v>
      </c>
      <c r="D410" s="115" t="s">
        <v>915</v>
      </c>
      <c r="E410" s="166" t="s">
        <v>336</v>
      </c>
      <c r="F410" s="166">
        <v>1</v>
      </c>
      <c r="G410" s="110"/>
      <c r="H410" s="110"/>
      <c r="I410" s="111">
        <v>6638.1</v>
      </c>
      <c r="J410" s="111">
        <v>0</v>
      </c>
      <c r="K410" s="111">
        <v>5000</v>
      </c>
      <c r="L410" s="111">
        <f t="shared" si="37"/>
        <v>6638.1</v>
      </c>
      <c r="M410" s="111">
        <f t="shared" si="38"/>
        <v>0</v>
      </c>
      <c r="N410" s="111">
        <f t="shared" si="39"/>
        <v>5000</v>
      </c>
      <c r="O410" s="149"/>
      <c r="P410" s="116" t="s">
        <v>79</v>
      </c>
      <c r="U410" s="111">
        <v>6322</v>
      </c>
      <c r="V410" s="99">
        <f t="shared" si="40"/>
        <v>316.1</v>
      </c>
      <c r="W410" s="99">
        <f t="shared" si="41"/>
        <v>6638.1</v>
      </c>
    </row>
    <row r="411" ht="34" customHeight="1" spans="1:23">
      <c r="A411" s="108">
        <v>407</v>
      </c>
      <c r="B411" s="108">
        <v>15.22</v>
      </c>
      <c r="C411" s="115" t="s">
        <v>937</v>
      </c>
      <c r="D411" s="115" t="s">
        <v>915</v>
      </c>
      <c r="E411" s="189" t="s">
        <v>336</v>
      </c>
      <c r="F411" s="109">
        <v>1</v>
      </c>
      <c r="G411" s="110"/>
      <c r="H411" s="110"/>
      <c r="I411" s="111">
        <v>12720.96</v>
      </c>
      <c r="J411" s="111">
        <v>0</v>
      </c>
      <c r="K411" s="111">
        <v>8000</v>
      </c>
      <c r="L411" s="111">
        <f t="shared" si="37"/>
        <v>12720.96</v>
      </c>
      <c r="M411" s="111">
        <f t="shared" si="38"/>
        <v>0</v>
      </c>
      <c r="N411" s="111">
        <f t="shared" si="39"/>
        <v>8000</v>
      </c>
      <c r="O411" s="149"/>
      <c r="P411" s="116" t="s">
        <v>79</v>
      </c>
      <c r="U411" s="111">
        <v>10115.2</v>
      </c>
      <c r="V411" s="99">
        <f t="shared" si="40"/>
        <v>2605.76</v>
      </c>
      <c r="W411" s="99">
        <f t="shared" si="41"/>
        <v>12720.96</v>
      </c>
    </row>
    <row r="412" ht="22" customHeight="1" spans="1:23">
      <c r="A412" s="108">
        <v>408</v>
      </c>
      <c r="B412" s="108">
        <v>15.23</v>
      </c>
      <c r="C412" s="115" t="s">
        <v>938</v>
      </c>
      <c r="D412" s="115" t="s">
        <v>939</v>
      </c>
      <c r="E412" s="152" t="s">
        <v>468</v>
      </c>
      <c r="F412" s="109">
        <v>1300</v>
      </c>
      <c r="G412" s="110"/>
      <c r="H412" s="110"/>
      <c r="I412" s="111">
        <v>10.62096</v>
      </c>
      <c r="J412" s="111">
        <v>0</v>
      </c>
      <c r="K412" s="111">
        <v>8</v>
      </c>
      <c r="L412" s="111">
        <f t="shared" si="37"/>
        <v>13807.248</v>
      </c>
      <c r="M412" s="111">
        <f t="shared" si="38"/>
        <v>0</v>
      </c>
      <c r="N412" s="111">
        <f t="shared" si="39"/>
        <v>10400</v>
      </c>
      <c r="O412" s="149"/>
      <c r="P412" s="116" t="s">
        <v>79</v>
      </c>
      <c r="U412" s="111">
        <v>10.1152</v>
      </c>
      <c r="V412" s="99">
        <f t="shared" si="40"/>
        <v>0.50576</v>
      </c>
      <c r="W412" s="99">
        <f t="shared" si="41"/>
        <v>10.62096</v>
      </c>
    </row>
    <row r="413" ht="91" customHeight="1" spans="1:23">
      <c r="A413" s="108">
        <v>409</v>
      </c>
      <c r="B413" s="108">
        <v>15.24</v>
      </c>
      <c r="C413" s="138" t="s">
        <v>940</v>
      </c>
      <c r="D413" s="134" t="s">
        <v>941</v>
      </c>
      <c r="E413" s="129" t="s">
        <v>74</v>
      </c>
      <c r="F413" s="110">
        <v>500</v>
      </c>
      <c r="G413" s="110"/>
      <c r="H413" s="110"/>
      <c r="I413" s="111">
        <v>159.3144</v>
      </c>
      <c r="J413" s="111">
        <v>0</v>
      </c>
      <c r="K413" s="111">
        <v>20</v>
      </c>
      <c r="L413" s="111">
        <f t="shared" si="37"/>
        <v>79657.2</v>
      </c>
      <c r="M413" s="111">
        <f t="shared" si="38"/>
        <v>0</v>
      </c>
      <c r="N413" s="111">
        <f t="shared" si="39"/>
        <v>10000</v>
      </c>
      <c r="O413" s="149"/>
      <c r="P413" s="116" t="s">
        <v>79</v>
      </c>
      <c r="U413" s="111">
        <v>151.728</v>
      </c>
      <c r="V413" s="99">
        <f t="shared" si="40"/>
        <v>7.5864</v>
      </c>
      <c r="W413" s="99">
        <f t="shared" si="41"/>
        <v>159.3144</v>
      </c>
    </row>
    <row r="414" ht="28" customHeight="1" spans="1:23">
      <c r="A414" s="108">
        <v>410</v>
      </c>
      <c r="B414" s="108">
        <v>15.25</v>
      </c>
      <c r="C414" s="138" t="s">
        <v>942</v>
      </c>
      <c r="D414" s="115" t="s">
        <v>943</v>
      </c>
      <c r="E414" s="108" t="s">
        <v>336</v>
      </c>
      <c r="F414" s="108">
        <v>2</v>
      </c>
      <c r="G414" s="110">
        <v>3</v>
      </c>
      <c r="H414" s="110">
        <v>6</v>
      </c>
      <c r="I414" s="111">
        <v>5310.48</v>
      </c>
      <c r="J414" s="111">
        <v>0</v>
      </c>
      <c r="K414" s="111">
        <v>1000</v>
      </c>
      <c r="L414" s="111">
        <f t="shared" si="37"/>
        <v>10620.96</v>
      </c>
      <c r="M414" s="111">
        <f t="shared" si="38"/>
        <v>0</v>
      </c>
      <c r="N414" s="111">
        <f t="shared" si="39"/>
        <v>2000</v>
      </c>
      <c r="O414" s="149"/>
      <c r="P414" s="116" t="s">
        <v>79</v>
      </c>
      <c r="U414" s="111">
        <v>5057.6</v>
      </c>
      <c r="V414" s="99">
        <f t="shared" si="40"/>
        <v>252.879999999999</v>
      </c>
      <c r="W414" s="99">
        <f t="shared" si="41"/>
        <v>5310.48</v>
      </c>
    </row>
    <row r="415" ht="34" customHeight="1" spans="1:23">
      <c r="A415" s="108">
        <v>411</v>
      </c>
      <c r="B415" s="108">
        <v>15.26</v>
      </c>
      <c r="C415" s="138" t="s">
        <v>944</v>
      </c>
      <c r="D415" s="115" t="s">
        <v>945</v>
      </c>
      <c r="E415" s="152" t="s">
        <v>468</v>
      </c>
      <c r="F415" s="108">
        <v>500</v>
      </c>
      <c r="G415" s="110"/>
      <c r="H415" s="110"/>
      <c r="I415" s="111">
        <v>73.0191</v>
      </c>
      <c r="J415" s="111">
        <v>0</v>
      </c>
      <c r="K415" s="111">
        <v>25</v>
      </c>
      <c r="L415" s="111">
        <f t="shared" si="37"/>
        <v>36509.55</v>
      </c>
      <c r="M415" s="111">
        <f t="shared" si="38"/>
        <v>0</v>
      </c>
      <c r="N415" s="111">
        <f t="shared" si="39"/>
        <v>12500</v>
      </c>
      <c r="O415" s="149"/>
      <c r="P415" s="116" t="s">
        <v>79</v>
      </c>
      <c r="U415" s="111">
        <v>69.542</v>
      </c>
      <c r="V415" s="99">
        <f t="shared" si="40"/>
        <v>3.47709999999999</v>
      </c>
      <c r="W415" s="99">
        <f t="shared" si="41"/>
        <v>73.0191</v>
      </c>
    </row>
    <row r="416" ht="53" customHeight="1" spans="1:23">
      <c r="A416" s="108">
        <v>412</v>
      </c>
      <c r="B416" s="108">
        <v>15.27</v>
      </c>
      <c r="C416" s="138" t="s">
        <v>946</v>
      </c>
      <c r="D416" s="115" t="s">
        <v>947</v>
      </c>
      <c r="E416" s="108" t="s">
        <v>948</v>
      </c>
      <c r="F416" s="108">
        <v>2</v>
      </c>
      <c r="G416" s="110"/>
      <c r="H416" s="110"/>
      <c r="I416" s="111">
        <v>1991.43</v>
      </c>
      <c r="J416" s="111">
        <v>0</v>
      </c>
      <c r="K416" s="111">
        <v>500</v>
      </c>
      <c r="L416" s="111">
        <f t="shared" si="37"/>
        <v>3982.86</v>
      </c>
      <c r="M416" s="111">
        <f t="shared" si="38"/>
        <v>0</v>
      </c>
      <c r="N416" s="111">
        <f t="shared" si="39"/>
        <v>1000</v>
      </c>
      <c r="O416" s="149"/>
      <c r="P416" s="116" t="s">
        <v>79</v>
      </c>
      <c r="U416" s="111">
        <v>1896.6</v>
      </c>
      <c r="V416" s="99">
        <f t="shared" si="40"/>
        <v>94.8300000000002</v>
      </c>
      <c r="W416" s="99">
        <f t="shared" si="41"/>
        <v>1991.43</v>
      </c>
    </row>
    <row r="417" ht="38" customHeight="1" spans="1:23">
      <c r="A417" s="108">
        <v>413</v>
      </c>
      <c r="B417" s="108">
        <v>15.28</v>
      </c>
      <c r="C417" s="151" t="s">
        <v>949</v>
      </c>
      <c r="D417" s="115" t="s">
        <v>915</v>
      </c>
      <c r="E417" s="117" t="s">
        <v>64</v>
      </c>
      <c r="F417" s="110">
        <v>2</v>
      </c>
      <c r="G417" s="110"/>
      <c r="H417" s="110"/>
      <c r="I417" s="111">
        <v>1194.858</v>
      </c>
      <c r="J417" s="111">
        <v>0</v>
      </c>
      <c r="K417" s="111">
        <v>900</v>
      </c>
      <c r="L417" s="111">
        <f t="shared" si="37"/>
        <v>2389.716</v>
      </c>
      <c r="M417" s="111">
        <f t="shared" si="38"/>
        <v>0</v>
      </c>
      <c r="N417" s="111">
        <f t="shared" si="39"/>
        <v>1800</v>
      </c>
      <c r="O417" s="149"/>
      <c r="P417" s="116" t="s">
        <v>79</v>
      </c>
      <c r="U417" s="111">
        <v>1137.96</v>
      </c>
      <c r="V417" s="99">
        <f t="shared" si="40"/>
        <v>56.8979999999999</v>
      </c>
      <c r="W417" s="99">
        <f t="shared" si="41"/>
        <v>1194.858</v>
      </c>
    </row>
    <row r="418" ht="38" customHeight="1" spans="1:23">
      <c r="A418" s="108">
        <v>414</v>
      </c>
      <c r="B418" s="108">
        <v>15.29</v>
      </c>
      <c r="C418" s="151" t="s">
        <v>950</v>
      </c>
      <c r="D418" s="115" t="s">
        <v>915</v>
      </c>
      <c r="E418" s="117" t="s">
        <v>64</v>
      </c>
      <c r="F418" s="110">
        <v>2</v>
      </c>
      <c r="G418" s="110"/>
      <c r="H418" s="110"/>
      <c r="I418" s="111">
        <v>1194.858</v>
      </c>
      <c r="J418" s="111">
        <v>0</v>
      </c>
      <c r="K418" s="111">
        <v>900</v>
      </c>
      <c r="L418" s="111">
        <f t="shared" si="37"/>
        <v>2389.716</v>
      </c>
      <c r="M418" s="111">
        <f t="shared" si="38"/>
        <v>0</v>
      </c>
      <c r="N418" s="111">
        <f t="shared" si="39"/>
        <v>1800</v>
      </c>
      <c r="O418" s="149"/>
      <c r="P418" s="116" t="s">
        <v>79</v>
      </c>
      <c r="U418" s="111">
        <v>1137.96</v>
      </c>
      <c r="V418" s="99">
        <f t="shared" si="40"/>
        <v>56.8979999999999</v>
      </c>
      <c r="W418" s="99">
        <f t="shared" si="41"/>
        <v>1194.858</v>
      </c>
    </row>
    <row r="419" ht="38" customHeight="1" spans="1:23">
      <c r="A419" s="108">
        <v>415</v>
      </c>
      <c r="B419" s="110">
        <v>15.3</v>
      </c>
      <c r="C419" s="151" t="s">
        <v>951</v>
      </c>
      <c r="D419" s="115" t="s">
        <v>915</v>
      </c>
      <c r="E419" s="117" t="s">
        <v>468</v>
      </c>
      <c r="F419" s="108">
        <v>2600</v>
      </c>
      <c r="G419" s="110"/>
      <c r="H419" s="110"/>
      <c r="I419" s="111">
        <v>10.62096</v>
      </c>
      <c r="J419" s="111">
        <v>0</v>
      </c>
      <c r="K419" s="111">
        <v>8</v>
      </c>
      <c r="L419" s="111">
        <f t="shared" si="37"/>
        <v>27614.496</v>
      </c>
      <c r="M419" s="111">
        <f t="shared" si="38"/>
        <v>0</v>
      </c>
      <c r="N419" s="111">
        <f t="shared" si="39"/>
        <v>20800</v>
      </c>
      <c r="O419" s="149"/>
      <c r="P419" s="116" t="s">
        <v>79</v>
      </c>
      <c r="U419" s="111">
        <v>10.1152</v>
      </c>
      <c r="V419" s="99">
        <f t="shared" si="40"/>
        <v>0.50576</v>
      </c>
      <c r="W419" s="99">
        <f t="shared" si="41"/>
        <v>10.62096</v>
      </c>
    </row>
    <row r="420" ht="48" customHeight="1" spans="1:23">
      <c r="A420" s="108">
        <v>416</v>
      </c>
      <c r="B420" s="108">
        <v>15.31</v>
      </c>
      <c r="C420" s="151" t="s">
        <v>952</v>
      </c>
      <c r="D420" s="134" t="s">
        <v>915</v>
      </c>
      <c r="E420" s="117" t="s">
        <v>59</v>
      </c>
      <c r="F420" s="110">
        <v>526</v>
      </c>
      <c r="G420" s="110"/>
      <c r="H420" s="110"/>
      <c r="I420" s="111">
        <v>225.6954</v>
      </c>
      <c r="J420" s="111">
        <v>0</v>
      </c>
      <c r="K420" s="111">
        <v>20</v>
      </c>
      <c r="L420" s="111">
        <f t="shared" si="37"/>
        <v>118715.7804</v>
      </c>
      <c r="M420" s="111">
        <f t="shared" si="38"/>
        <v>0</v>
      </c>
      <c r="N420" s="111">
        <f t="shared" si="39"/>
        <v>10520</v>
      </c>
      <c r="O420" s="149"/>
      <c r="P420" s="116" t="s">
        <v>79</v>
      </c>
      <c r="U420" s="111">
        <v>214.948</v>
      </c>
      <c r="V420" s="99">
        <f t="shared" si="40"/>
        <v>10.7474</v>
      </c>
      <c r="W420" s="99">
        <f t="shared" si="41"/>
        <v>225.6954</v>
      </c>
    </row>
    <row r="421" ht="48" customHeight="1" spans="1:23">
      <c r="A421" s="108">
        <v>417</v>
      </c>
      <c r="B421" s="108">
        <v>15.32</v>
      </c>
      <c r="C421" s="151" t="s">
        <v>953</v>
      </c>
      <c r="D421" s="134" t="s">
        <v>915</v>
      </c>
      <c r="E421" s="117" t="s">
        <v>64</v>
      </c>
      <c r="F421" s="110">
        <v>4</v>
      </c>
      <c r="G421" s="110"/>
      <c r="H421" s="110"/>
      <c r="I421" s="111">
        <v>1194.858</v>
      </c>
      <c r="J421" s="111">
        <v>0</v>
      </c>
      <c r="K421" s="111">
        <v>900</v>
      </c>
      <c r="L421" s="111">
        <f t="shared" si="37"/>
        <v>4779.432</v>
      </c>
      <c r="M421" s="111">
        <f t="shared" si="38"/>
        <v>0</v>
      </c>
      <c r="N421" s="111">
        <f t="shared" si="39"/>
        <v>3600</v>
      </c>
      <c r="O421" s="149"/>
      <c r="P421" s="116" t="s">
        <v>79</v>
      </c>
      <c r="U421" s="111">
        <v>1137.96</v>
      </c>
      <c r="V421" s="99">
        <f t="shared" si="40"/>
        <v>56.8979999999999</v>
      </c>
      <c r="W421" s="99">
        <f t="shared" si="41"/>
        <v>1194.858</v>
      </c>
    </row>
    <row r="422" ht="48" customHeight="1" spans="1:23">
      <c r="A422" s="108">
        <v>418</v>
      </c>
      <c r="B422" s="108">
        <v>15.33</v>
      </c>
      <c r="C422" s="151" t="s">
        <v>954</v>
      </c>
      <c r="D422" s="134" t="s">
        <v>915</v>
      </c>
      <c r="E422" s="117" t="s">
        <v>59</v>
      </c>
      <c r="F422" s="110">
        <v>85</v>
      </c>
      <c r="G422" s="110"/>
      <c r="H422" s="110"/>
      <c r="I422" s="111">
        <v>225.6954</v>
      </c>
      <c r="J422" s="111">
        <v>0</v>
      </c>
      <c r="K422" s="111">
        <v>20</v>
      </c>
      <c r="L422" s="111">
        <f t="shared" si="37"/>
        <v>19184.109</v>
      </c>
      <c r="M422" s="111">
        <f t="shared" si="38"/>
        <v>0</v>
      </c>
      <c r="N422" s="111">
        <f t="shared" si="39"/>
        <v>1700</v>
      </c>
      <c r="O422" s="149"/>
      <c r="P422" s="116" t="s">
        <v>79</v>
      </c>
      <c r="U422" s="111">
        <v>214.948</v>
      </c>
      <c r="V422" s="99">
        <f t="shared" si="40"/>
        <v>10.7474</v>
      </c>
      <c r="W422" s="99">
        <f t="shared" si="41"/>
        <v>225.6954</v>
      </c>
    </row>
    <row r="423" ht="62" customHeight="1" spans="1:23">
      <c r="A423" s="108">
        <v>419</v>
      </c>
      <c r="B423" s="108">
        <v>15.34</v>
      </c>
      <c r="C423" s="151" t="s">
        <v>955</v>
      </c>
      <c r="D423" s="134" t="s">
        <v>956</v>
      </c>
      <c r="E423" s="117" t="s">
        <v>74</v>
      </c>
      <c r="F423" s="110">
        <v>160</v>
      </c>
      <c r="G423" s="110"/>
      <c r="H423" s="110"/>
      <c r="I423" s="111">
        <v>92.9334</v>
      </c>
      <c r="J423" s="111">
        <v>0</v>
      </c>
      <c r="K423" s="111">
        <v>20</v>
      </c>
      <c r="L423" s="111">
        <f t="shared" si="37"/>
        <v>14869.344</v>
      </c>
      <c r="M423" s="111">
        <f t="shared" si="38"/>
        <v>0</v>
      </c>
      <c r="N423" s="111">
        <f t="shared" si="39"/>
        <v>3200</v>
      </c>
      <c r="O423" s="149"/>
      <c r="P423" s="116" t="s">
        <v>79</v>
      </c>
      <c r="U423" s="111">
        <v>88.508</v>
      </c>
      <c r="V423" s="99">
        <f t="shared" si="40"/>
        <v>4.42540000000001</v>
      </c>
      <c r="W423" s="99">
        <f t="shared" si="41"/>
        <v>92.9334</v>
      </c>
    </row>
    <row r="424" ht="38" customHeight="1" spans="1:23">
      <c r="A424" s="108">
        <v>420</v>
      </c>
      <c r="B424" s="108">
        <v>15.35</v>
      </c>
      <c r="C424" s="151" t="s">
        <v>957</v>
      </c>
      <c r="D424" s="134" t="s">
        <v>958</v>
      </c>
      <c r="E424" s="108" t="s">
        <v>64</v>
      </c>
      <c r="F424" s="110">
        <v>83.2</v>
      </c>
      <c r="G424" s="110"/>
      <c r="H424" s="110"/>
      <c r="I424" s="111">
        <v>796.572</v>
      </c>
      <c r="J424" s="111">
        <v>0</v>
      </c>
      <c r="K424" s="111">
        <v>600</v>
      </c>
      <c r="L424" s="111">
        <f t="shared" si="37"/>
        <v>66274.7904</v>
      </c>
      <c r="M424" s="111">
        <f t="shared" si="38"/>
        <v>0</v>
      </c>
      <c r="N424" s="111">
        <f t="shared" si="39"/>
        <v>49920</v>
      </c>
      <c r="O424" s="149"/>
      <c r="P424" s="116" t="s">
        <v>79</v>
      </c>
      <c r="U424" s="111">
        <v>758.64</v>
      </c>
      <c r="V424" s="99">
        <f t="shared" si="40"/>
        <v>37.932</v>
      </c>
      <c r="W424" s="99">
        <f t="shared" si="41"/>
        <v>796.572</v>
      </c>
    </row>
    <row r="425" ht="38" customHeight="1" spans="1:23">
      <c r="A425" s="108">
        <v>421</v>
      </c>
      <c r="B425" s="108">
        <v>15.36</v>
      </c>
      <c r="C425" s="151" t="s">
        <v>959</v>
      </c>
      <c r="D425" s="134" t="s">
        <v>915</v>
      </c>
      <c r="E425" s="108" t="s">
        <v>64</v>
      </c>
      <c r="F425" s="110">
        <v>20</v>
      </c>
      <c r="G425" s="110"/>
      <c r="H425" s="110"/>
      <c r="I425" s="111">
        <v>796.572</v>
      </c>
      <c r="J425" s="111">
        <v>0</v>
      </c>
      <c r="K425" s="111">
        <v>600</v>
      </c>
      <c r="L425" s="111">
        <f t="shared" si="37"/>
        <v>15931.44</v>
      </c>
      <c r="M425" s="111">
        <f t="shared" si="38"/>
        <v>0</v>
      </c>
      <c r="N425" s="111">
        <f t="shared" si="39"/>
        <v>12000</v>
      </c>
      <c r="O425" s="149"/>
      <c r="P425" s="116" t="s">
        <v>79</v>
      </c>
      <c r="U425" s="111">
        <v>758.64</v>
      </c>
      <c r="V425" s="99">
        <f t="shared" si="40"/>
        <v>37.932</v>
      </c>
      <c r="W425" s="99">
        <f t="shared" si="41"/>
        <v>796.572</v>
      </c>
    </row>
    <row r="426" ht="99" customHeight="1" spans="1:23">
      <c r="A426" s="108">
        <v>422</v>
      </c>
      <c r="B426" s="108">
        <v>15.37</v>
      </c>
      <c r="C426" s="151" t="s">
        <v>960</v>
      </c>
      <c r="D426" s="134" t="s">
        <v>961</v>
      </c>
      <c r="E426" s="108" t="s">
        <v>962</v>
      </c>
      <c r="F426" s="108">
        <v>1</v>
      </c>
      <c r="G426" s="110"/>
      <c r="H426" s="110"/>
      <c r="I426" s="111">
        <v>6638.1</v>
      </c>
      <c r="J426" s="111">
        <v>0</v>
      </c>
      <c r="K426" s="111">
        <v>5000</v>
      </c>
      <c r="L426" s="111">
        <f t="shared" si="37"/>
        <v>6638.1</v>
      </c>
      <c r="M426" s="111">
        <f t="shared" si="38"/>
        <v>0</v>
      </c>
      <c r="N426" s="111">
        <f t="shared" si="39"/>
        <v>5000</v>
      </c>
      <c r="O426" s="149"/>
      <c r="P426" s="116" t="s">
        <v>79</v>
      </c>
      <c r="U426" s="111">
        <v>6322</v>
      </c>
      <c r="V426" s="99">
        <f t="shared" si="40"/>
        <v>316.1</v>
      </c>
      <c r="W426" s="99">
        <f t="shared" si="41"/>
        <v>6638.1</v>
      </c>
    </row>
    <row r="427" ht="38" customHeight="1" spans="1:23">
      <c r="A427" s="108">
        <v>423</v>
      </c>
      <c r="B427" s="108">
        <v>15.38</v>
      </c>
      <c r="C427" s="151" t="s">
        <v>963</v>
      </c>
      <c r="D427" s="134" t="s">
        <v>915</v>
      </c>
      <c r="E427" s="108" t="s">
        <v>64</v>
      </c>
      <c r="F427" s="110">
        <v>100</v>
      </c>
      <c r="G427" s="110"/>
      <c r="H427" s="110"/>
      <c r="I427" s="111">
        <v>1062.096</v>
      </c>
      <c r="J427" s="111">
        <v>0</v>
      </c>
      <c r="K427" s="111">
        <v>800</v>
      </c>
      <c r="L427" s="111">
        <f t="shared" si="37"/>
        <v>106209.6</v>
      </c>
      <c r="M427" s="111">
        <f t="shared" si="38"/>
        <v>0</v>
      </c>
      <c r="N427" s="111">
        <f t="shared" si="39"/>
        <v>80000</v>
      </c>
      <c r="O427" s="149"/>
      <c r="P427" s="116" t="s">
        <v>79</v>
      </c>
      <c r="U427" s="111">
        <v>1011.52</v>
      </c>
      <c r="V427" s="99">
        <f t="shared" si="40"/>
        <v>50.576</v>
      </c>
      <c r="W427" s="99">
        <f t="shared" si="41"/>
        <v>1062.096</v>
      </c>
    </row>
    <row r="428" ht="38" customHeight="1" spans="1:23">
      <c r="A428" s="108">
        <v>424</v>
      </c>
      <c r="B428" s="108">
        <v>15.39</v>
      </c>
      <c r="C428" s="151" t="s">
        <v>964</v>
      </c>
      <c r="D428" s="134" t="s">
        <v>915</v>
      </c>
      <c r="E428" s="108" t="s">
        <v>64</v>
      </c>
      <c r="F428" s="110">
        <v>63.8</v>
      </c>
      <c r="G428" s="110"/>
      <c r="H428" s="110"/>
      <c r="I428" s="111">
        <v>1062.096</v>
      </c>
      <c r="J428" s="111">
        <v>0</v>
      </c>
      <c r="K428" s="111">
        <v>800</v>
      </c>
      <c r="L428" s="111">
        <f t="shared" si="37"/>
        <v>67761.7248</v>
      </c>
      <c r="M428" s="111">
        <f t="shared" si="38"/>
        <v>0</v>
      </c>
      <c r="N428" s="111">
        <f t="shared" si="39"/>
        <v>51040</v>
      </c>
      <c r="O428" s="149"/>
      <c r="P428" s="116" t="s">
        <v>79</v>
      </c>
      <c r="U428" s="111">
        <v>1011.52</v>
      </c>
      <c r="V428" s="99">
        <f t="shared" si="40"/>
        <v>50.576</v>
      </c>
      <c r="W428" s="99">
        <f t="shared" si="41"/>
        <v>1062.096</v>
      </c>
    </row>
    <row r="429" ht="38" customHeight="1" spans="1:23">
      <c r="A429" s="108">
        <v>425</v>
      </c>
      <c r="B429" s="110">
        <v>15.4</v>
      </c>
      <c r="C429" s="151" t="s">
        <v>965</v>
      </c>
      <c r="D429" s="134" t="s">
        <v>966</v>
      </c>
      <c r="E429" s="117" t="s">
        <v>74</v>
      </c>
      <c r="F429" s="110">
        <v>335</v>
      </c>
      <c r="G429" s="110"/>
      <c r="H429" s="110"/>
      <c r="I429" s="111">
        <v>92.9334</v>
      </c>
      <c r="J429" s="111">
        <v>0</v>
      </c>
      <c r="K429" s="111">
        <v>20</v>
      </c>
      <c r="L429" s="111">
        <f t="shared" si="37"/>
        <v>31132.689</v>
      </c>
      <c r="M429" s="111">
        <f t="shared" si="38"/>
        <v>0</v>
      </c>
      <c r="N429" s="111">
        <f t="shared" si="39"/>
        <v>6700</v>
      </c>
      <c r="O429" s="149"/>
      <c r="P429" s="116" t="s">
        <v>79</v>
      </c>
      <c r="U429" s="111">
        <v>88.508</v>
      </c>
      <c r="V429" s="99">
        <f t="shared" si="40"/>
        <v>4.42540000000001</v>
      </c>
      <c r="W429" s="99">
        <f t="shared" si="41"/>
        <v>92.9334</v>
      </c>
    </row>
    <row r="430" ht="38" customHeight="1" spans="1:23">
      <c r="A430" s="108">
        <v>426</v>
      </c>
      <c r="B430" s="108">
        <v>15.41</v>
      </c>
      <c r="C430" s="151" t="s">
        <v>967</v>
      </c>
      <c r="D430" s="134" t="s">
        <v>958</v>
      </c>
      <c r="E430" s="108" t="s">
        <v>64</v>
      </c>
      <c r="F430" s="110">
        <v>5</v>
      </c>
      <c r="G430" s="110"/>
      <c r="H430" s="110"/>
      <c r="I430" s="111">
        <v>1062.096</v>
      </c>
      <c r="J430" s="111">
        <v>0</v>
      </c>
      <c r="K430" s="111">
        <v>800</v>
      </c>
      <c r="L430" s="111">
        <f t="shared" si="37"/>
        <v>5310.48</v>
      </c>
      <c r="M430" s="111">
        <f t="shared" si="38"/>
        <v>0</v>
      </c>
      <c r="N430" s="111">
        <f t="shared" si="39"/>
        <v>4000</v>
      </c>
      <c r="O430" s="149"/>
      <c r="P430" s="116" t="s">
        <v>79</v>
      </c>
      <c r="U430" s="111">
        <v>1011.52</v>
      </c>
      <c r="V430" s="99">
        <f t="shared" si="40"/>
        <v>50.576</v>
      </c>
      <c r="W430" s="99">
        <f t="shared" si="41"/>
        <v>1062.096</v>
      </c>
    </row>
    <row r="431" ht="42" customHeight="1" spans="1:23">
      <c r="A431" s="108">
        <v>427</v>
      </c>
      <c r="B431" s="108">
        <v>15.42</v>
      </c>
      <c r="C431" s="151" t="s">
        <v>968</v>
      </c>
      <c r="D431" s="134" t="s">
        <v>915</v>
      </c>
      <c r="E431" s="108" t="s">
        <v>64</v>
      </c>
      <c r="F431" s="110">
        <v>15</v>
      </c>
      <c r="G431" s="110"/>
      <c r="H431" s="110"/>
      <c r="I431" s="111">
        <v>1062.096</v>
      </c>
      <c r="J431" s="111">
        <v>0</v>
      </c>
      <c r="K431" s="111">
        <v>800</v>
      </c>
      <c r="L431" s="111">
        <f t="shared" si="37"/>
        <v>15931.44</v>
      </c>
      <c r="M431" s="111">
        <f t="shared" si="38"/>
        <v>0</v>
      </c>
      <c r="N431" s="111">
        <f t="shared" si="39"/>
        <v>12000</v>
      </c>
      <c r="O431" s="149"/>
      <c r="P431" s="116" t="s">
        <v>79</v>
      </c>
      <c r="U431" s="111">
        <v>1011.52</v>
      </c>
      <c r="V431" s="99">
        <f t="shared" si="40"/>
        <v>50.576</v>
      </c>
      <c r="W431" s="99">
        <f t="shared" si="41"/>
        <v>1062.096</v>
      </c>
    </row>
    <row r="432" ht="38" customHeight="1" spans="1:23">
      <c r="A432" s="108">
        <v>428</v>
      </c>
      <c r="B432" s="108">
        <v>15.43</v>
      </c>
      <c r="C432" s="151" t="s">
        <v>969</v>
      </c>
      <c r="D432" s="134" t="s">
        <v>915</v>
      </c>
      <c r="E432" s="108" t="s">
        <v>64</v>
      </c>
      <c r="F432" s="110">
        <v>17</v>
      </c>
      <c r="G432" s="110"/>
      <c r="H432" s="110"/>
      <c r="I432" s="111">
        <v>1062.096</v>
      </c>
      <c r="J432" s="111">
        <v>0</v>
      </c>
      <c r="K432" s="111">
        <v>800</v>
      </c>
      <c r="L432" s="111">
        <f t="shared" si="37"/>
        <v>18055.632</v>
      </c>
      <c r="M432" s="111">
        <f t="shared" si="38"/>
        <v>0</v>
      </c>
      <c r="N432" s="111">
        <f t="shared" si="39"/>
        <v>13600</v>
      </c>
      <c r="O432" s="149"/>
      <c r="P432" s="116" t="s">
        <v>79</v>
      </c>
      <c r="U432" s="111">
        <v>1011.52</v>
      </c>
      <c r="V432" s="99">
        <f t="shared" si="40"/>
        <v>50.576</v>
      </c>
      <c r="W432" s="99">
        <f t="shared" si="41"/>
        <v>1062.096</v>
      </c>
    </row>
    <row r="433" ht="38" customHeight="1" spans="1:23">
      <c r="A433" s="108">
        <v>429</v>
      </c>
      <c r="B433" s="108">
        <v>15.44</v>
      </c>
      <c r="C433" s="151" t="s">
        <v>970</v>
      </c>
      <c r="D433" s="134" t="s">
        <v>915</v>
      </c>
      <c r="E433" s="117" t="s">
        <v>74</v>
      </c>
      <c r="F433" s="110">
        <v>950</v>
      </c>
      <c r="G433" s="110"/>
      <c r="H433" s="110"/>
      <c r="I433" s="111">
        <v>26.5524</v>
      </c>
      <c r="J433" s="111">
        <v>0</v>
      </c>
      <c r="K433" s="111">
        <v>20</v>
      </c>
      <c r="L433" s="111">
        <f t="shared" si="37"/>
        <v>25224.78</v>
      </c>
      <c r="M433" s="111">
        <f t="shared" si="38"/>
        <v>0</v>
      </c>
      <c r="N433" s="111">
        <f t="shared" si="39"/>
        <v>19000</v>
      </c>
      <c r="O433" s="149"/>
      <c r="P433" s="116" t="s">
        <v>79</v>
      </c>
      <c r="U433" s="111">
        <v>25.288</v>
      </c>
      <c r="V433" s="99">
        <f t="shared" si="40"/>
        <v>1.2644</v>
      </c>
      <c r="W433" s="99">
        <f t="shared" si="41"/>
        <v>26.5524</v>
      </c>
    </row>
    <row r="434" ht="38" customHeight="1" spans="1:23">
      <c r="A434" s="108">
        <v>430</v>
      </c>
      <c r="B434" s="108">
        <v>15.45</v>
      </c>
      <c r="C434" s="151" t="s">
        <v>971</v>
      </c>
      <c r="D434" s="134" t="s">
        <v>915</v>
      </c>
      <c r="E434" s="108" t="s">
        <v>64</v>
      </c>
      <c r="F434" s="110">
        <v>5</v>
      </c>
      <c r="G434" s="110"/>
      <c r="H434" s="110"/>
      <c r="I434" s="111">
        <v>1062.096</v>
      </c>
      <c r="J434" s="111">
        <v>0</v>
      </c>
      <c r="K434" s="111">
        <v>800</v>
      </c>
      <c r="L434" s="111">
        <f t="shared" si="37"/>
        <v>5310.48</v>
      </c>
      <c r="M434" s="111">
        <f t="shared" si="38"/>
        <v>0</v>
      </c>
      <c r="N434" s="111">
        <f t="shared" si="39"/>
        <v>4000</v>
      </c>
      <c r="O434" s="149"/>
      <c r="P434" s="116" t="s">
        <v>79</v>
      </c>
      <c r="U434" s="111">
        <v>1011.52</v>
      </c>
      <c r="V434" s="99">
        <f t="shared" si="40"/>
        <v>50.576</v>
      </c>
      <c r="W434" s="99">
        <f t="shared" si="41"/>
        <v>1062.096</v>
      </c>
    </row>
    <row r="435" ht="38" customHeight="1" spans="1:23">
      <c r="A435" s="108">
        <v>431</v>
      </c>
      <c r="B435" s="108">
        <v>15.46</v>
      </c>
      <c r="C435" s="151" t="s">
        <v>957</v>
      </c>
      <c r="D435" s="134" t="s">
        <v>958</v>
      </c>
      <c r="E435" s="108" t="s">
        <v>64</v>
      </c>
      <c r="F435" s="110">
        <v>86.7629</v>
      </c>
      <c r="G435" s="110"/>
      <c r="H435" s="110"/>
      <c r="I435" s="111">
        <v>1062.096</v>
      </c>
      <c r="J435" s="111">
        <v>0</v>
      </c>
      <c r="K435" s="111">
        <v>800</v>
      </c>
      <c r="L435" s="111">
        <f t="shared" si="37"/>
        <v>92150.5290384</v>
      </c>
      <c r="M435" s="111">
        <f t="shared" si="38"/>
        <v>0</v>
      </c>
      <c r="N435" s="111">
        <f t="shared" si="39"/>
        <v>69410.32</v>
      </c>
      <c r="O435" s="149"/>
      <c r="P435" s="116" t="s">
        <v>79</v>
      </c>
      <c r="U435" s="111">
        <v>1011.52</v>
      </c>
      <c r="V435" s="99">
        <f t="shared" si="40"/>
        <v>50.576</v>
      </c>
      <c r="W435" s="99">
        <f t="shared" si="41"/>
        <v>1062.096</v>
      </c>
    </row>
    <row r="436" ht="38" customHeight="1" spans="1:23">
      <c r="A436" s="108">
        <v>432</v>
      </c>
      <c r="B436" s="108">
        <v>15.47</v>
      </c>
      <c r="C436" s="138" t="s">
        <v>972</v>
      </c>
      <c r="D436" s="134" t="s">
        <v>915</v>
      </c>
      <c r="E436" s="117" t="s">
        <v>59</v>
      </c>
      <c r="F436" s="110">
        <v>600</v>
      </c>
      <c r="G436" s="110"/>
      <c r="H436" s="110"/>
      <c r="I436" s="111">
        <v>225.6954</v>
      </c>
      <c r="J436" s="111">
        <v>0</v>
      </c>
      <c r="K436" s="111">
        <v>20</v>
      </c>
      <c r="L436" s="111">
        <f t="shared" si="37"/>
        <v>135417.24</v>
      </c>
      <c r="M436" s="111">
        <f t="shared" si="38"/>
        <v>0</v>
      </c>
      <c r="N436" s="111">
        <f t="shared" si="39"/>
        <v>12000</v>
      </c>
      <c r="O436" s="149"/>
      <c r="P436" s="116" t="s">
        <v>79</v>
      </c>
      <c r="U436" s="111">
        <v>214.948</v>
      </c>
      <c r="V436" s="99">
        <f t="shared" si="40"/>
        <v>10.7474</v>
      </c>
      <c r="W436" s="99">
        <f t="shared" si="41"/>
        <v>225.6954</v>
      </c>
    </row>
    <row r="437" ht="38" customHeight="1" spans="1:23">
      <c r="A437" s="108">
        <v>433</v>
      </c>
      <c r="B437" s="108">
        <v>15.48</v>
      </c>
      <c r="C437" s="151" t="s">
        <v>973</v>
      </c>
      <c r="D437" s="115" t="s">
        <v>915</v>
      </c>
      <c r="E437" s="117" t="s">
        <v>64</v>
      </c>
      <c r="F437" s="110">
        <v>10</v>
      </c>
      <c r="G437" s="110"/>
      <c r="H437" s="110"/>
      <c r="I437" s="111">
        <v>1062.096</v>
      </c>
      <c r="J437" s="111">
        <v>0</v>
      </c>
      <c r="K437" s="111">
        <v>800</v>
      </c>
      <c r="L437" s="111">
        <f t="shared" si="37"/>
        <v>10620.96</v>
      </c>
      <c r="M437" s="111">
        <f t="shared" si="38"/>
        <v>0</v>
      </c>
      <c r="N437" s="111">
        <f t="shared" si="39"/>
        <v>8000</v>
      </c>
      <c r="O437" s="149"/>
      <c r="P437" s="116" t="s">
        <v>79</v>
      </c>
      <c r="U437" s="111">
        <v>1011.52</v>
      </c>
      <c r="V437" s="99">
        <f t="shared" si="40"/>
        <v>50.576</v>
      </c>
      <c r="W437" s="99">
        <f t="shared" si="41"/>
        <v>1062.096</v>
      </c>
    </row>
    <row r="438" ht="38" customHeight="1" spans="1:23">
      <c r="A438" s="108">
        <v>434</v>
      </c>
      <c r="B438" s="108">
        <v>15.49</v>
      </c>
      <c r="C438" s="151" t="s">
        <v>974</v>
      </c>
      <c r="D438" s="134"/>
      <c r="E438" s="117" t="s">
        <v>234</v>
      </c>
      <c r="F438" s="108">
        <v>1</v>
      </c>
      <c r="G438" s="110"/>
      <c r="H438" s="110"/>
      <c r="I438" s="111">
        <v>2124.192</v>
      </c>
      <c r="J438" s="111">
        <v>0</v>
      </c>
      <c r="K438" s="111">
        <v>1600</v>
      </c>
      <c r="L438" s="111">
        <f t="shared" si="37"/>
        <v>2124.192</v>
      </c>
      <c r="M438" s="111">
        <f t="shared" si="38"/>
        <v>0</v>
      </c>
      <c r="N438" s="111">
        <f t="shared" si="39"/>
        <v>1600</v>
      </c>
      <c r="O438" s="149"/>
      <c r="P438" s="116" t="s">
        <v>79</v>
      </c>
      <c r="U438" s="111">
        <v>2023.04</v>
      </c>
      <c r="V438" s="99">
        <f t="shared" si="40"/>
        <v>101.152</v>
      </c>
      <c r="W438" s="99">
        <f t="shared" si="41"/>
        <v>2124.192</v>
      </c>
    </row>
    <row r="439" ht="38" customHeight="1" spans="1:23">
      <c r="A439" s="108">
        <v>435</v>
      </c>
      <c r="B439" s="110">
        <v>15.5</v>
      </c>
      <c r="C439" s="151" t="s">
        <v>975</v>
      </c>
      <c r="D439" s="134" t="s">
        <v>915</v>
      </c>
      <c r="E439" s="108" t="s">
        <v>59</v>
      </c>
      <c r="F439" s="110">
        <v>18</v>
      </c>
      <c r="G439" s="110"/>
      <c r="H439" s="110"/>
      <c r="I439" s="111">
        <v>225.6954</v>
      </c>
      <c r="J439" s="111">
        <v>0</v>
      </c>
      <c r="K439" s="111">
        <v>20</v>
      </c>
      <c r="L439" s="111">
        <f t="shared" si="37"/>
        <v>4062.5172</v>
      </c>
      <c r="M439" s="111">
        <f t="shared" si="38"/>
        <v>0</v>
      </c>
      <c r="N439" s="111">
        <f t="shared" si="39"/>
        <v>360</v>
      </c>
      <c r="O439" s="149"/>
      <c r="P439" s="116" t="s">
        <v>79</v>
      </c>
      <c r="U439" s="111">
        <v>214.948</v>
      </c>
      <c r="V439" s="99">
        <f t="shared" si="40"/>
        <v>10.7474</v>
      </c>
      <c r="W439" s="99">
        <f t="shared" si="41"/>
        <v>225.6954</v>
      </c>
    </row>
    <row r="440" ht="38" customHeight="1" spans="1:23">
      <c r="A440" s="108">
        <v>436</v>
      </c>
      <c r="B440" s="108">
        <v>15.51</v>
      </c>
      <c r="C440" s="151" t="s">
        <v>976</v>
      </c>
      <c r="D440" s="134" t="s">
        <v>977</v>
      </c>
      <c r="E440" s="108" t="s">
        <v>59</v>
      </c>
      <c r="F440" s="110">
        <v>16</v>
      </c>
      <c r="G440" s="110"/>
      <c r="H440" s="110"/>
      <c r="I440" s="111">
        <v>159.3144</v>
      </c>
      <c r="J440" s="111">
        <v>0</v>
      </c>
      <c r="K440" s="111">
        <v>20</v>
      </c>
      <c r="L440" s="111">
        <f t="shared" si="37"/>
        <v>2549.0304</v>
      </c>
      <c r="M440" s="111">
        <f t="shared" si="38"/>
        <v>0</v>
      </c>
      <c r="N440" s="111">
        <f t="shared" si="39"/>
        <v>320</v>
      </c>
      <c r="O440" s="149"/>
      <c r="P440" s="116" t="s">
        <v>79</v>
      </c>
      <c r="U440" s="111">
        <v>151.728</v>
      </c>
      <c r="V440" s="99">
        <f t="shared" si="40"/>
        <v>7.5864</v>
      </c>
      <c r="W440" s="99">
        <f t="shared" si="41"/>
        <v>159.3144</v>
      </c>
    </row>
    <row r="441" ht="38" customHeight="1" spans="1:23">
      <c r="A441" s="108">
        <v>437</v>
      </c>
      <c r="B441" s="108">
        <v>15.52</v>
      </c>
      <c r="C441" s="151" t="s">
        <v>978</v>
      </c>
      <c r="D441" s="115" t="s">
        <v>313</v>
      </c>
      <c r="E441" s="108" t="s">
        <v>234</v>
      </c>
      <c r="F441" s="108">
        <v>1</v>
      </c>
      <c r="G441" s="110"/>
      <c r="H441" s="110"/>
      <c r="I441" s="111">
        <v>56254.8</v>
      </c>
      <c r="J441" s="111">
        <v>0</v>
      </c>
      <c r="K441" s="111">
        <v>40000</v>
      </c>
      <c r="L441" s="111">
        <f t="shared" si="37"/>
        <v>56254.8</v>
      </c>
      <c r="M441" s="111">
        <f t="shared" si="38"/>
        <v>0</v>
      </c>
      <c r="N441" s="111">
        <f t="shared" si="39"/>
        <v>40000</v>
      </c>
      <c r="O441" s="149"/>
      <c r="P441" s="116" t="s">
        <v>79</v>
      </c>
      <c r="U441" s="111">
        <v>50576</v>
      </c>
      <c r="V441" s="99">
        <f t="shared" si="40"/>
        <v>5678.8</v>
      </c>
      <c r="W441" s="99">
        <f t="shared" si="41"/>
        <v>56254.8</v>
      </c>
    </row>
    <row r="442" ht="38" customHeight="1" spans="1:23">
      <c r="A442" s="108">
        <v>438</v>
      </c>
      <c r="B442" s="108">
        <v>15.53</v>
      </c>
      <c r="C442" s="151" t="s">
        <v>979</v>
      </c>
      <c r="D442" s="115" t="s">
        <v>915</v>
      </c>
      <c r="E442" s="108" t="s">
        <v>64</v>
      </c>
      <c r="F442" s="110">
        <v>2</v>
      </c>
      <c r="G442" s="110"/>
      <c r="H442" s="110"/>
      <c r="I442" s="111">
        <v>1062.096</v>
      </c>
      <c r="J442" s="111">
        <v>0</v>
      </c>
      <c r="K442" s="111">
        <v>800</v>
      </c>
      <c r="L442" s="111">
        <f t="shared" si="37"/>
        <v>2124.192</v>
      </c>
      <c r="M442" s="111">
        <f t="shared" si="38"/>
        <v>0</v>
      </c>
      <c r="N442" s="111">
        <f t="shared" si="39"/>
        <v>1600</v>
      </c>
      <c r="O442" s="149"/>
      <c r="P442" s="116" t="s">
        <v>79</v>
      </c>
      <c r="U442" s="111">
        <v>1011.52</v>
      </c>
      <c r="V442" s="99">
        <f t="shared" si="40"/>
        <v>50.576</v>
      </c>
      <c r="W442" s="99">
        <f t="shared" si="41"/>
        <v>1062.096</v>
      </c>
    </row>
    <row r="443" ht="38" customHeight="1" spans="1:23">
      <c r="A443" s="108">
        <v>439</v>
      </c>
      <c r="B443" s="108">
        <v>15.54</v>
      </c>
      <c r="C443" s="151" t="s">
        <v>980</v>
      </c>
      <c r="D443" s="134" t="s">
        <v>966</v>
      </c>
      <c r="E443" s="117" t="s">
        <v>59</v>
      </c>
      <c r="F443" s="110">
        <v>6</v>
      </c>
      <c r="G443" s="110"/>
      <c r="H443" s="110"/>
      <c r="I443" s="111">
        <v>225.6954</v>
      </c>
      <c r="J443" s="111">
        <v>0</v>
      </c>
      <c r="K443" s="111">
        <v>20</v>
      </c>
      <c r="L443" s="111">
        <f t="shared" si="37"/>
        <v>1354.1724</v>
      </c>
      <c r="M443" s="111">
        <f t="shared" si="38"/>
        <v>0</v>
      </c>
      <c r="N443" s="111">
        <f t="shared" si="39"/>
        <v>120</v>
      </c>
      <c r="O443" s="149"/>
      <c r="P443" s="116" t="s">
        <v>79</v>
      </c>
      <c r="U443" s="111">
        <v>214.948</v>
      </c>
      <c r="V443" s="99">
        <f t="shared" si="40"/>
        <v>10.7474</v>
      </c>
      <c r="W443" s="99">
        <f t="shared" si="41"/>
        <v>225.6954</v>
      </c>
    </row>
    <row r="444" ht="38" customHeight="1" spans="1:23">
      <c r="A444" s="108">
        <v>440</v>
      </c>
      <c r="B444" s="108">
        <v>15.55</v>
      </c>
      <c r="C444" s="151" t="s">
        <v>981</v>
      </c>
      <c r="D444" s="134" t="s">
        <v>982</v>
      </c>
      <c r="E444" s="117" t="s">
        <v>59</v>
      </c>
      <c r="F444" s="110">
        <v>210</v>
      </c>
      <c r="G444" s="110"/>
      <c r="H444" s="110"/>
      <c r="I444" s="111">
        <v>225.6954</v>
      </c>
      <c r="J444" s="111">
        <v>0</v>
      </c>
      <c r="K444" s="111">
        <v>20</v>
      </c>
      <c r="L444" s="111">
        <f t="shared" si="37"/>
        <v>47396.034</v>
      </c>
      <c r="M444" s="111">
        <f t="shared" si="38"/>
        <v>0</v>
      </c>
      <c r="N444" s="111">
        <f t="shared" si="39"/>
        <v>4200</v>
      </c>
      <c r="O444" s="149"/>
      <c r="P444" s="116" t="s">
        <v>79</v>
      </c>
      <c r="U444" s="111">
        <v>214.948</v>
      </c>
      <c r="V444" s="99">
        <f t="shared" si="40"/>
        <v>10.7474</v>
      </c>
      <c r="W444" s="99">
        <f t="shared" si="41"/>
        <v>225.6954</v>
      </c>
    </row>
    <row r="445" ht="66" customHeight="1" spans="1:23">
      <c r="A445" s="108">
        <v>441</v>
      </c>
      <c r="B445" s="108">
        <v>15.56</v>
      </c>
      <c r="C445" s="138" t="s">
        <v>983</v>
      </c>
      <c r="D445" s="134" t="s">
        <v>984</v>
      </c>
      <c r="E445" s="108" t="s">
        <v>962</v>
      </c>
      <c r="F445" s="108">
        <v>1</v>
      </c>
      <c r="G445" s="110"/>
      <c r="H445" s="110"/>
      <c r="I445" s="111">
        <v>8663.27610619469</v>
      </c>
      <c r="J445" s="111">
        <f>2000+446</f>
        <v>2446</v>
      </c>
      <c r="K445" s="111">
        <v>3500</v>
      </c>
      <c r="L445" s="111">
        <f t="shared" si="37"/>
        <v>8663.27610619469</v>
      </c>
      <c r="M445" s="111">
        <f>F445*J445-374</f>
        <v>2072</v>
      </c>
      <c r="N445" s="111">
        <f t="shared" si="39"/>
        <v>3500</v>
      </c>
      <c r="O445" s="149"/>
      <c r="P445" s="116" t="s">
        <v>79</v>
      </c>
      <c r="R445" s="99">
        <f>I445*Q445</f>
        <v>0</v>
      </c>
      <c r="U445" s="111">
        <v>6663.27610619469</v>
      </c>
      <c r="V445" s="99">
        <f t="shared" si="40"/>
        <v>2000</v>
      </c>
      <c r="W445" s="99">
        <f t="shared" si="41"/>
        <v>6217.27610619469</v>
      </c>
    </row>
    <row r="446" ht="38" customHeight="1" spans="1:23">
      <c r="A446" s="108">
        <v>442</v>
      </c>
      <c r="B446" s="108">
        <v>15.57</v>
      </c>
      <c r="C446" s="151" t="s">
        <v>985</v>
      </c>
      <c r="D446" s="115" t="s">
        <v>986</v>
      </c>
      <c r="E446" s="108" t="s">
        <v>234</v>
      </c>
      <c r="F446" s="108">
        <v>2</v>
      </c>
      <c r="G446" s="110"/>
      <c r="H446" s="110"/>
      <c r="I446" s="111">
        <v>9466.6</v>
      </c>
      <c r="J446" s="111">
        <v>0</v>
      </c>
      <c r="K446" s="111">
        <v>7500</v>
      </c>
      <c r="L446" s="111">
        <f t="shared" si="37"/>
        <v>18933.2</v>
      </c>
      <c r="M446" s="111">
        <f t="shared" si="38"/>
        <v>0</v>
      </c>
      <c r="N446" s="111">
        <f t="shared" si="39"/>
        <v>15000</v>
      </c>
      <c r="O446" s="149"/>
      <c r="P446" s="116" t="s">
        <v>79</v>
      </c>
      <c r="R446" s="99">
        <f>I446*Q446</f>
        <v>0</v>
      </c>
      <c r="U446" s="111">
        <v>8218.6</v>
      </c>
      <c r="V446" s="99">
        <f t="shared" si="40"/>
        <v>1248</v>
      </c>
      <c r="W446" s="99">
        <f t="shared" si="41"/>
        <v>9466.6</v>
      </c>
    </row>
    <row r="447" ht="38" customHeight="1" spans="1:23">
      <c r="A447" s="108">
        <v>443</v>
      </c>
      <c r="B447" s="108">
        <v>16</v>
      </c>
      <c r="C447" s="151" t="s">
        <v>987</v>
      </c>
      <c r="D447" s="134" t="s">
        <v>988</v>
      </c>
      <c r="E447" s="117" t="s">
        <v>962</v>
      </c>
      <c r="F447" s="108">
        <v>1</v>
      </c>
      <c r="G447" s="110"/>
      <c r="H447" s="110"/>
      <c r="I447" s="111">
        <v>38000</v>
      </c>
      <c r="J447" s="111">
        <v>0</v>
      </c>
      <c r="K447" s="111">
        <v>30000</v>
      </c>
      <c r="L447" s="111">
        <f t="shared" si="37"/>
        <v>38000</v>
      </c>
      <c r="M447" s="111">
        <f t="shared" si="38"/>
        <v>0</v>
      </c>
      <c r="N447" s="111">
        <f t="shared" si="39"/>
        <v>30000</v>
      </c>
      <c r="O447" s="149"/>
      <c r="P447" s="116" t="s">
        <v>989</v>
      </c>
      <c r="U447" s="111">
        <v>25288</v>
      </c>
      <c r="V447" s="99">
        <f t="shared" si="40"/>
        <v>12712</v>
      </c>
      <c r="W447" s="99">
        <f t="shared" si="41"/>
        <v>38000</v>
      </c>
    </row>
    <row r="448" ht="38" customHeight="1" spans="1:23">
      <c r="A448" s="108"/>
      <c r="B448" s="108"/>
      <c r="C448" s="138"/>
      <c r="D448" s="115"/>
      <c r="E448" s="108"/>
      <c r="F448" s="108"/>
      <c r="G448" s="110"/>
      <c r="H448" s="110"/>
      <c r="I448" s="114"/>
      <c r="J448" s="114"/>
      <c r="K448" s="114"/>
      <c r="L448" s="190">
        <f>ROUND(L4+L69+L112+L126+L135+L147+L162+L257+L267+L300+L320+L338+L356+L377+L389+L447,0)</f>
        <v>18131000</v>
      </c>
      <c r="M448" s="190">
        <f>ROUND(M4+M69+M112+M126+M135+M147+M162+M257+M267+M300+M320+M338+M356+M377+M389+M447,0)</f>
        <v>6729000</v>
      </c>
      <c r="N448" s="190">
        <f>ROUND(N4+N69+N112+N126+N135+N147+N162+N257+N267+N300+N320+N338+N356+N377+N389+N447,0)</f>
        <v>5463481</v>
      </c>
      <c r="O448" s="149"/>
      <c r="P448" s="116"/>
      <c r="U448" s="114"/>
      <c r="V448" s="99">
        <f t="shared" si="40"/>
        <v>0</v>
      </c>
      <c r="W448" s="99">
        <f t="shared" si="41"/>
        <v>0</v>
      </c>
    </row>
  </sheetData>
  <protectedRanges>
    <protectedRange sqref="D182:D253" name="区域1_7_3_2"/>
    <protectedRange sqref="C280:C283" name="区域1_2_2_1_1_5_1_1_1"/>
    <protectedRange sqref="D297:D299" name="区域1_7_3_2_1_1"/>
    <protectedRange sqref="C270" name="区域1_1_1"/>
    <protectedRange sqref="C271" name="区域1_15_1_1_1"/>
    <protectedRange sqref="C272" name="区域1_15_1_1_1_1"/>
    <protectedRange sqref="C273" name="区域1_15_1_1_1_3"/>
    <protectedRange sqref="C269" name="区域1_16_1_2"/>
    <protectedRange sqref="D270:E270 E271:E272" name="区域1_1_1_1"/>
    <protectedRange sqref="D271" name="区域1_15_1_1_1_2"/>
    <protectedRange sqref="D272" name="区域1_15_1_1_1_1_2"/>
    <protectedRange sqref="D273:E273" name="区域1_15_1_1_1_3_1"/>
    <protectedRange sqref="D182:D188 D201:D205" name="区域1_7_3_1"/>
    <protectedRange sqref="D190" name="区域1_7_3_1_1"/>
    <protectedRange sqref="D206 D196:D200" name="区域1_7_3_2_1"/>
    <protectedRange sqref="D191:D194" name="区域1_7_3_1_1_1"/>
    <protectedRange sqref="D207 D209:D212" name="区域1_8_2_1_2_1"/>
    <protectedRange sqref="D208" name="区域1_1_2_5_1"/>
    <protectedRange sqref="C255:C256" name="区域1_2_2_1_1_5_1_1_1_1"/>
    <protectedRange sqref="D180:D181" name="区域1_7_3_2_1_1_1"/>
    <protectedRange sqref="C246" name="区域1_16_1_2_1"/>
    <protectedRange sqref="D237" name="区域1_2_3_1_1"/>
    <protectedRange sqref="D238:D241" name="区域1_2_4_1_1"/>
    <protectedRange sqref="C149:D157" name="区域1_1_2_1_1"/>
  </protectedRanges>
  <autoFilter xmlns:etc="http://www.wps.cn/officeDocument/2017/etCustomData" ref="A1:P448" etc:filterBottomFollowUsedRange="0">
    <extLst/>
  </autoFilter>
  <mergeCells count="18">
    <mergeCell ref="G1:H1"/>
    <mergeCell ref="I1:K1"/>
    <mergeCell ref="L1:N1"/>
    <mergeCell ref="J2:K2"/>
    <mergeCell ref="M2:N2"/>
    <mergeCell ref="A1:A3"/>
    <mergeCell ref="B1:B3"/>
    <mergeCell ref="C1:C3"/>
    <mergeCell ref="D1:D3"/>
    <mergeCell ref="E1:E3"/>
    <mergeCell ref="F1:F3"/>
    <mergeCell ref="G2:G3"/>
    <mergeCell ref="H2:H3"/>
    <mergeCell ref="I2:I3"/>
    <mergeCell ref="L2:L3"/>
    <mergeCell ref="O1:O2"/>
    <mergeCell ref="P1:P3"/>
    <mergeCell ref="U2:U3"/>
  </mergeCells>
  <printOptions horizontalCentered="1"/>
  <pageMargins left="0.708661417322835" right="0.708661417322835" top="0.748031496062992" bottom="0.748031496062992" header="0.31496062992126" footer="0.31496062992126"/>
  <pageSetup paperSize="13" scale="56" orientation="landscape"/>
  <headerFooter>
    <oddFooter>&amp;C第 &amp;P 页，共 &amp;N 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M16"/>
  <sheetViews>
    <sheetView zoomScale="80" zoomScaleNormal="80" workbookViewId="0">
      <selection activeCell="G15" sqref="G15"/>
    </sheetView>
  </sheetViews>
  <sheetFormatPr defaultColWidth="9" defaultRowHeight="13.5"/>
  <cols>
    <col min="1" max="1" width="5.86666666666667" style="79" customWidth="1"/>
    <col min="2" max="2" width="9.63333333333333" style="79" customWidth="1"/>
    <col min="3" max="3" width="8.5" style="79" customWidth="1"/>
    <col min="4" max="5" width="5" style="79" customWidth="1"/>
    <col min="6" max="6" width="6" style="79" customWidth="1"/>
    <col min="7" max="7" width="9" style="79"/>
    <col min="8" max="8" width="11.8666666666667" style="79" customWidth="1"/>
    <col min="9" max="9" width="12.8666666666667" style="79" customWidth="1"/>
    <col min="10" max="10" width="7.75" style="79" customWidth="1"/>
    <col min="11" max="12" width="9" style="79"/>
    <col min="13" max="13" width="13" style="79" customWidth="1"/>
    <col min="14" max="16384" width="9" style="79"/>
  </cols>
  <sheetData>
    <row r="1" ht="39" customHeight="1" spans="1:13">
      <c r="A1" s="33" t="s">
        <v>990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ht="39" customHeight="1" spans="1:13">
      <c r="A2" s="80" t="s">
        <v>991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2"/>
    </row>
    <row r="3" s="77" customFormat="1" ht="15" customHeight="1" spans="1:13">
      <c r="A3" s="83" t="s">
        <v>992</v>
      </c>
      <c r="B3" s="84" t="s">
        <v>3</v>
      </c>
      <c r="C3" s="83" t="s">
        <v>993</v>
      </c>
      <c r="D3" s="83" t="s">
        <v>994</v>
      </c>
      <c r="E3" s="83" t="s">
        <v>995</v>
      </c>
      <c r="F3" s="83"/>
      <c r="G3" s="83" t="s">
        <v>41</v>
      </c>
      <c r="H3" s="83"/>
      <c r="I3" s="83"/>
      <c r="J3" s="84" t="s">
        <v>996</v>
      </c>
      <c r="K3" s="84"/>
      <c r="L3" s="84"/>
      <c r="M3" s="84" t="s">
        <v>997</v>
      </c>
    </row>
    <row r="4" s="77" customFormat="1" ht="15" customHeight="1" spans="1:13">
      <c r="A4" s="83"/>
      <c r="B4" s="84"/>
      <c r="C4" s="83"/>
      <c r="D4" s="83"/>
      <c r="E4" s="83" t="s">
        <v>998</v>
      </c>
      <c r="F4" s="83" t="s">
        <v>999</v>
      </c>
      <c r="G4" s="85" t="s">
        <v>1000</v>
      </c>
      <c r="H4" s="85" t="s">
        <v>1001</v>
      </c>
      <c r="I4" s="86"/>
      <c r="J4" s="84" t="s">
        <v>1002</v>
      </c>
      <c r="K4" s="84" t="s">
        <v>1003</v>
      </c>
      <c r="L4" s="86" t="s">
        <v>1004</v>
      </c>
      <c r="M4" s="84"/>
    </row>
    <row r="5" s="77" customFormat="1" spans="1:13">
      <c r="A5" s="83"/>
      <c r="B5" s="84"/>
      <c r="C5" s="83"/>
      <c r="D5" s="83"/>
      <c r="E5" s="83"/>
      <c r="F5" s="83"/>
      <c r="G5" s="87"/>
      <c r="H5" s="87"/>
      <c r="I5" s="86" t="s">
        <v>1004</v>
      </c>
      <c r="J5" s="84"/>
      <c r="K5" s="84"/>
      <c r="L5" s="86" t="s">
        <v>1005</v>
      </c>
      <c r="M5" s="84"/>
    </row>
    <row r="6" s="77" customFormat="1" spans="1:13">
      <c r="A6" s="83"/>
      <c r="B6" s="84"/>
      <c r="C6" s="83"/>
      <c r="D6" s="83"/>
      <c r="E6" s="83"/>
      <c r="F6" s="83"/>
      <c r="G6" s="88"/>
      <c r="H6" s="88"/>
      <c r="I6" s="86" t="s">
        <v>1005</v>
      </c>
      <c r="J6" s="84"/>
      <c r="K6" s="84"/>
      <c r="L6" s="89"/>
      <c r="M6" s="84"/>
    </row>
    <row r="7" s="78" customFormat="1" ht="12" spans="1:13">
      <c r="A7" s="90"/>
      <c r="B7" s="90" t="s">
        <v>1006</v>
      </c>
      <c r="C7" s="90"/>
      <c r="D7" s="90"/>
      <c r="E7" s="91"/>
      <c r="F7" s="91"/>
      <c r="G7" s="92"/>
      <c r="H7" s="93"/>
      <c r="I7" s="94"/>
      <c r="J7" s="92"/>
      <c r="K7" s="92"/>
      <c r="L7" s="95"/>
      <c r="M7" s="95"/>
    </row>
    <row r="8" s="78" customFormat="1" ht="12" spans="1:13">
      <c r="A8" s="96"/>
      <c r="B8" s="96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</row>
    <row r="9" s="78" customFormat="1" ht="12" spans="1:13">
      <c r="A9" s="96"/>
      <c r="B9" s="96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</row>
    <row r="10" s="78" customFormat="1" ht="12" spans="1:13">
      <c r="A10" s="96"/>
      <c r="B10" s="96"/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</row>
    <row r="11" s="78" customFormat="1" ht="12" spans="1:13">
      <c r="A11" s="96"/>
      <c r="B11" s="96"/>
      <c r="C11" s="96"/>
      <c r="D11" s="96"/>
      <c r="E11" s="96"/>
      <c r="F11" s="96"/>
      <c r="G11" s="96"/>
      <c r="H11" s="96"/>
      <c r="I11" s="96"/>
      <c r="J11" s="96"/>
      <c r="K11" s="96"/>
      <c r="L11" s="96"/>
      <c r="M11" s="96"/>
    </row>
    <row r="12" s="78" customFormat="1" ht="12" spans="1:13">
      <c r="A12" s="96"/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</row>
    <row r="13" s="78" customFormat="1" ht="12" spans="1:13">
      <c r="A13" s="96"/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</row>
    <row r="14" s="78" customFormat="1" ht="12" spans="1:13">
      <c r="A14" s="96"/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</row>
    <row r="15" s="78" customFormat="1" ht="55.5" customHeight="1" spans="1:13">
      <c r="A15" s="96"/>
      <c r="B15" s="96" t="s">
        <v>1007</v>
      </c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</row>
    <row r="16" s="78" customFormat="1" ht="23.25" customHeight="1" spans="1:13">
      <c r="A16" s="97" t="s">
        <v>1008</v>
      </c>
    </row>
  </sheetData>
  <mergeCells count="16">
    <mergeCell ref="A1:M1"/>
    <mergeCell ref="A2:M2"/>
    <mergeCell ref="E3:F3"/>
    <mergeCell ref="G3:I3"/>
    <mergeCell ref="J3:L3"/>
    <mergeCell ref="A3:A6"/>
    <mergeCell ref="B3:B6"/>
    <mergeCell ref="C3:C6"/>
    <mergeCell ref="D3:D6"/>
    <mergeCell ref="E4:E6"/>
    <mergeCell ref="F4:F6"/>
    <mergeCell ref="G4:G6"/>
    <mergeCell ref="H4:H6"/>
    <mergeCell ref="J4:J6"/>
    <mergeCell ref="K4:K6"/>
    <mergeCell ref="M3:M6"/>
  </mergeCells>
  <pageMargins left="0.7" right="0.7" top="0.75" bottom="0.75" header="0.3" footer="0.3"/>
  <pageSetup paperSize="9" scale="79" firstPageNumber="17" fitToHeight="0" orientation="portrait" useFirstPageNumber="1"/>
  <headerFooter>
    <oddFooter>&amp;C第 &amp;P 页，共28 页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8"/>
  <sheetViews>
    <sheetView workbookViewId="0">
      <selection activeCell="B15" sqref="B15"/>
    </sheetView>
  </sheetViews>
  <sheetFormatPr defaultColWidth="9" defaultRowHeight="13.5" outlineLevelCol="6"/>
  <cols>
    <col min="1" max="1" width="9.25" style="67" customWidth="1"/>
    <col min="2" max="2" width="22" style="67" customWidth="1"/>
    <col min="3" max="3" width="13.8666666666667" style="67" customWidth="1"/>
    <col min="4" max="4" width="17.5" style="67" customWidth="1"/>
    <col min="5" max="16384" width="9" style="67"/>
  </cols>
  <sheetData>
    <row r="1" s="66" customFormat="1" ht="37.5" customHeight="1" spans="1:4">
      <c r="A1" s="48" t="s">
        <v>1009</v>
      </c>
      <c r="B1" s="49"/>
      <c r="C1" s="49"/>
      <c r="D1" s="50"/>
    </row>
    <row r="2" s="66" customFormat="1" ht="33.75" customHeight="1" spans="1:4">
      <c r="A2" s="68" t="s">
        <v>1010</v>
      </c>
      <c r="B2" s="69"/>
      <c r="C2" s="69"/>
      <c r="D2" s="70"/>
    </row>
    <row r="3" s="66" customFormat="1" ht="20.1" customHeight="1" spans="1:4">
      <c r="A3" s="71" t="s">
        <v>992</v>
      </c>
      <c r="B3" s="71" t="s">
        <v>1011</v>
      </c>
      <c r="C3" s="71" t="s">
        <v>1012</v>
      </c>
      <c r="D3" s="71" t="s">
        <v>1013</v>
      </c>
    </row>
    <row r="4" ht="20.1" customHeight="1" spans="1:4">
      <c r="A4" s="72" t="s">
        <v>1006</v>
      </c>
      <c r="B4" s="72"/>
      <c r="C4" s="72"/>
      <c r="D4" s="72"/>
    </row>
    <row r="5" ht="20.1" customHeight="1" spans="1:4">
      <c r="A5" s="72"/>
      <c r="B5" s="72"/>
      <c r="C5" s="72"/>
      <c r="D5" s="72"/>
    </row>
    <row r="6" ht="20.1" customHeight="1" spans="1:4">
      <c r="A6" s="72"/>
      <c r="B6" s="72"/>
      <c r="C6" s="72"/>
      <c r="D6" s="72"/>
    </row>
    <row r="7" ht="20.1" customHeight="1" spans="1:4">
      <c r="A7" s="72"/>
      <c r="B7" s="72"/>
      <c r="C7" s="72"/>
      <c r="D7" s="72"/>
    </row>
    <row r="8" ht="20.1" customHeight="1" spans="1:4">
      <c r="A8" s="72"/>
      <c r="B8" s="72"/>
      <c r="C8" s="72"/>
      <c r="D8" s="72"/>
    </row>
    <row r="9" ht="20.1" customHeight="1" spans="1:4">
      <c r="A9" s="72"/>
      <c r="B9" s="72"/>
      <c r="C9" s="72"/>
      <c r="D9" s="72"/>
    </row>
    <row r="10" ht="20.1" customHeight="1" spans="1:4">
      <c r="A10" s="72"/>
      <c r="B10" s="72"/>
      <c r="C10" s="72"/>
      <c r="D10" s="72"/>
    </row>
    <row r="11" ht="20.1" customHeight="1" spans="1:4">
      <c r="A11" s="73" t="s">
        <v>1014</v>
      </c>
      <c r="B11" s="72"/>
      <c r="C11" s="72"/>
      <c r="D11" s="72"/>
    </row>
    <row r="12" ht="20.1" customHeight="1" spans="1:4">
      <c r="A12" s="74" t="s">
        <v>1015</v>
      </c>
      <c r="B12" s="72"/>
      <c r="C12" s="72"/>
      <c r="D12" s="72"/>
    </row>
    <row r="13" ht="20.1" customHeight="1" spans="1:4">
      <c r="A13" s="74" t="s">
        <v>1016</v>
      </c>
      <c r="B13" s="75"/>
      <c r="C13" s="75"/>
      <c r="D13" s="75"/>
    </row>
    <row r="14" ht="20.1" customHeight="1" spans="1:4">
      <c r="A14" s="73" t="s">
        <v>1017</v>
      </c>
      <c r="B14" s="72"/>
      <c r="C14" s="72"/>
      <c r="D14" s="72"/>
    </row>
    <row r="15" ht="20.1" customHeight="1" spans="1:4">
      <c r="A15" s="6" t="s">
        <v>1018</v>
      </c>
    </row>
    <row r="16" ht="20.1" customHeight="1" spans="1:4">
      <c r="A16" s="76" t="s">
        <v>1019</v>
      </c>
    </row>
    <row r="17" ht="20.1" customHeight="1" spans="1:7">
      <c r="A17" s="76" t="s">
        <v>1020</v>
      </c>
    </row>
    <row r="18" s="46" customFormat="1" customHeight="1" spans="1:7">
      <c r="A18" s="6" t="s">
        <v>1021</v>
      </c>
      <c r="B18" s="6"/>
      <c r="C18" s="6"/>
      <c r="D18" s="6"/>
      <c r="E18" s="6"/>
      <c r="F18" s="6"/>
      <c r="G18" s="6"/>
    </row>
  </sheetData>
  <mergeCells count="8">
    <mergeCell ref="A1:D1"/>
    <mergeCell ref="A2:D2"/>
    <mergeCell ref="A11:D11"/>
    <mergeCell ref="B12:D12"/>
    <mergeCell ref="B13:D13"/>
    <mergeCell ref="A14:D14"/>
    <mergeCell ref="A18:G18"/>
    <mergeCell ref="A4:D10"/>
  </mergeCells>
  <pageMargins left="0.7" right="0.7" top="0.75" bottom="0.75" header="0.3" footer="0.3"/>
  <pageSetup paperSize="9" scale="99" firstPageNumber="18" fitToHeight="0" orientation="portrait" useFirstPageNumber="1"/>
  <headerFooter>
    <oddFooter>&amp;C第 &amp;P 页，共28 页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7"/>
  <sheetViews>
    <sheetView showZeros="0" workbookViewId="0">
      <selection activeCell="G5" sqref="G5"/>
    </sheetView>
  </sheetViews>
  <sheetFormatPr defaultColWidth="9" defaultRowHeight="13.5" outlineLevelCol="7"/>
  <cols>
    <col min="1" max="1" width="17.75" style="47" customWidth="1"/>
    <col min="2" max="2" width="9" style="47"/>
    <col min="3" max="3" width="21.1333333333333" style="47" customWidth="1"/>
    <col min="4" max="5" width="5.75" style="47" customWidth="1"/>
    <col min="6" max="7" width="10.8666666666667" style="47" customWidth="1"/>
    <col min="8" max="8" width="12.1333333333333" style="47" customWidth="1"/>
    <col min="9" max="16384" width="9" style="47"/>
  </cols>
  <sheetData>
    <row r="1" s="44" customFormat="1" ht="30" customHeight="1" spans="1:8">
      <c r="A1" s="48" t="s">
        <v>1022</v>
      </c>
      <c r="B1" s="49"/>
      <c r="C1" s="49"/>
      <c r="D1" s="49"/>
      <c r="E1" s="49"/>
      <c r="F1" s="49"/>
      <c r="G1" s="49"/>
      <c r="H1" s="50"/>
    </row>
    <row r="2" s="45" customFormat="1" spans="1:8">
      <c r="A2" s="33" t="s">
        <v>1023</v>
      </c>
      <c r="B2" s="33" t="s">
        <v>992</v>
      </c>
      <c r="C2" s="33" t="s">
        <v>3</v>
      </c>
      <c r="D2" s="33" t="s">
        <v>994</v>
      </c>
      <c r="E2" s="33" t="s">
        <v>1024</v>
      </c>
      <c r="F2" s="33" t="s">
        <v>1025</v>
      </c>
      <c r="G2" s="33" t="s">
        <v>42</v>
      </c>
      <c r="H2" s="33" t="s">
        <v>1013</v>
      </c>
    </row>
    <row r="3" ht="15.75" customHeight="1" spans="1:8">
      <c r="A3" s="51" t="s">
        <v>1026</v>
      </c>
      <c r="B3" s="52">
        <v>1</v>
      </c>
      <c r="C3" s="53" t="s">
        <v>1027</v>
      </c>
      <c r="D3" s="54"/>
      <c r="E3" s="54"/>
      <c r="F3" s="54"/>
      <c r="G3" s="55">
        <f>G14*0.15</f>
        <v>183576.45</v>
      </c>
      <c r="H3" s="56"/>
    </row>
    <row r="4" ht="16" customHeight="1" spans="1:8">
      <c r="A4" s="57"/>
      <c r="B4" s="52"/>
      <c r="C4" s="58" t="s">
        <v>1028</v>
      </c>
      <c r="D4" s="54"/>
      <c r="E4" s="54"/>
      <c r="F4" s="54"/>
      <c r="G4" s="55"/>
      <c r="H4" s="56"/>
    </row>
    <row r="5" ht="29.25" customHeight="1" spans="1:8">
      <c r="A5" s="57"/>
      <c r="B5" s="52">
        <v>2</v>
      </c>
      <c r="C5" s="59" t="s">
        <v>1029</v>
      </c>
      <c r="D5" s="54"/>
      <c r="E5" s="54"/>
      <c r="F5" s="54"/>
      <c r="G5" s="55">
        <f>G14*0.3</f>
        <v>367152.9</v>
      </c>
      <c r="H5" s="60" t="s">
        <v>1030</v>
      </c>
    </row>
    <row r="6" ht="14.25" spans="1:8">
      <c r="A6" s="57"/>
      <c r="B6" s="52"/>
      <c r="C6" s="53"/>
      <c r="D6" s="54"/>
      <c r="E6" s="54"/>
      <c r="F6" s="54"/>
      <c r="G6" s="55"/>
      <c r="H6" s="56"/>
    </row>
    <row r="7" ht="14.25" spans="1:8">
      <c r="A7" s="57"/>
      <c r="B7" s="52"/>
      <c r="C7" s="53"/>
      <c r="D7" s="54"/>
      <c r="E7" s="54"/>
      <c r="F7" s="54"/>
      <c r="G7" s="55"/>
      <c r="H7" s="56"/>
    </row>
    <row r="8" ht="14.25" spans="1:8">
      <c r="A8" s="57"/>
      <c r="B8" s="52">
        <v>3</v>
      </c>
      <c r="C8" s="53" t="s">
        <v>1031</v>
      </c>
      <c r="D8" s="54"/>
      <c r="E8" s="54"/>
      <c r="F8" s="54"/>
      <c r="G8" s="55">
        <f>G14*0.3</f>
        <v>367152.9</v>
      </c>
      <c r="H8" s="56"/>
    </row>
    <row r="9" ht="14.25" spans="1:8">
      <c r="A9" s="57"/>
      <c r="B9" s="52"/>
      <c r="C9" s="58" t="s">
        <v>1032</v>
      </c>
      <c r="D9" s="54"/>
      <c r="E9" s="54"/>
      <c r="F9" s="54"/>
      <c r="G9" s="55"/>
      <c r="H9" s="56"/>
    </row>
    <row r="10" ht="43.5" customHeight="1" spans="1:8">
      <c r="A10" s="57"/>
      <c r="B10" s="52"/>
      <c r="C10" s="58" t="s">
        <v>1033</v>
      </c>
      <c r="D10" s="54"/>
      <c r="E10" s="54"/>
      <c r="F10" s="54"/>
      <c r="G10" s="55"/>
      <c r="H10" s="56"/>
    </row>
    <row r="11" ht="14.25" spans="1:8">
      <c r="A11" s="57"/>
      <c r="B11" s="52">
        <v>4</v>
      </c>
      <c r="C11" s="53" t="s">
        <v>1034</v>
      </c>
      <c r="D11" s="54"/>
      <c r="E11" s="54"/>
      <c r="F11" s="54"/>
      <c r="G11" s="55">
        <f>G14*0.25</f>
        <v>305960.75</v>
      </c>
      <c r="H11" s="56"/>
    </row>
    <row r="12" ht="14.25" spans="1:8">
      <c r="A12" s="57"/>
      <c r="B12" s="52"/>
      <c r="C12" s="58" t="s">
        <v>1035</v>
      </c>
      <c r="D12" s="54"/>
      <c r="E12" s="54"/>
      <c r="F12" s="54"/>
      <c r="G12" s="61"/>
      <c r="H12" s="56"/>
    </row>
    <row r="13" ht="14.25" spans="1:8">
      <c r="A13" s="57"/>
      <c r="B13" s="52"/>
      <c r="C13" s="58" t="s">
        <v>1036</v>
      </c>
      <c r="D13" s="54"/>
      <c r="E13" s="54"/>
      <c r="F13" s="54"/>
      <c r="G13" s="61"/>
      <c r="H13" s="56"/>
    </row>
    <row r="14" ht="14.25" spans="1:8">
      <c r="A14" s="62"/>
      <c r="B14" s="52"/>
      <c r="C14" s="63" t="s">
        <v>1015</v>
      </c>
      <c r="D14" s="63"/>
      <c r="E14" s="63"/>
      <c r="F14" s="63"/>
      <c r="G14" s="64">
        <f>ROUND(表1汇总表!D21,0)</f>
        <v>1223843</v>
      </c>
      <c r="H14" s="63"/>
    </row>
    <row r="15" ht="24.75" customHeight="1" spans="1:8">
      <c r="A15" s="65" t="s">
        <v>1019</v>
      </c>
    </row>
    <row r="16" ht="30" customHeight="1" spans="1:8">
      <c r="A16" s="65" t="s">
        <v>1020</v>
      </c>
    </row>
    <row r="17" s="46" customFormat="1" customHeight="1" spans="1:7">
      <c r="A17" s="6" t="s">
        <v>1037</v>
      </c>
      <c r="B17" s="6"/>
      <c r="C17" s="6"/>
      <c r="D17" s="6"/>
      <c r="E17" s="6"/>
      <c r="F17" s="6"/>
      <c r="G17" s="6"/>
    </row>
  </sheetData>
  <mergeCells count="3">
    <mergeCell ref="A1:H1"/>
    <mergeCell ref="A17:G17"/>
    <mergeCell ref="A3:A14"/>
  </mergeCells>
  <pageMargins left="0.7" right="0.7" top="0.75" bottom="0.75" header="0.3" footer="0.3"/>
  <pageSetup paperSize="9" scale="95" firstPageNumber="19" fitToHeight="0" orientation="portrait" useFirstPageNumber="1"/>
  <headerFooter>
    <oddFooter>&amp;C第 &amp;P 页，共28 页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62"/>
  <sheetViews>
    <sheetView showZeros="0" workbookViewId="0">
      <selection activeCell="F55" sqref="F55"/>
    </sheetView>
  </sheetViews>
  <sheetFormatPr defaultColWidth="8.75" defaultRowHeight="13.5" outlineLevelCol="6"/>
  <cols>
    <col min="1" max="1" width="45.25" style="5" customWidth="1"/>
    <col min="2" max="2" width="18.6333333333333" style="6" customWidth="1"/>
    <col min="3" max="3" width="19.8666666666667" style="7" customWidth="1"/>
    <col min="4" max="4" width="8.13333333333333" style="8" customWidth="1"/>
    <col min="5" max="5" width="9.75" style="8" customWidth="1"/>
    <col min="6" max="6" width="14.25" style="8" customWidth="1"/>
    <col min="7" max="7" width="12.75" style="7" customWidth="1"/>
    <col min="8" max="16384" width="8.75" style="6"/>
  </cols>
  <sheetData>
    <row r="1" ht="15.75" spans="1:7">
      <c r="A1" s="9" t="s">
        <v>1038</v>
      </c>
      <c r="B1" s="10"/>
      <c r="C1" s="10"/>
      <c r="D1" s="11"/>
      <c r="E1" s="11"/>
      <c r="F1" s="11"/>
      <c r="G1" s="10"/>
    </row>
    <row r="2" ht="14.25" spans="1:7">
      <c r="A2" s="12" t="s">
        <v>1039</v>
      </c>
      <c r="B2" s="12"/>
      <c r="C2" s="12"/>
      <c r="D2" s="13"/>
      <c r="E2" s="13"/>
      <c r="F2" s="13"/>
      <c r="G2" s="12"/>
    </row>
    <row r="3" spans="1:7">
      <c r="A3" s="14" t="s">
        <v>1040</v>
      </c>
      <c r="B3" s="14" t="s">
        <v>1041</v>
      </c>
      <c r="C3" s="14" t="s">
        <v>994</v>
      </c>
      <c r="D3" s="15" t="s">
        <v>1024</v>
      </c>
      <c r="E3" s="15" t="s">
        <v>41</v>
      </c>
      <c r="F3" s="15" t="s">
        <v>1042</v>
      </c>
      <c r="G3" s="14" t="s">
        <v>1013</v>
      </c>
    </row>
    <row r="4" ht="15.75" spans="1:7">
      <c r="A4" s="16" t="s">
        <v>1043</v>
      </c>
      <c r="B4" s="17" t="s">
        <v>1044</v>
      </c>
      <c r="C4" s="18" t="s">
        <v>1045</v>
      </c>
      <c r="D4" s="19">
        <v>450</v>
      </c>
      <c r="E4" s="20">
        <v>65</v>
      </c>
      <c r="F4" s="20">
        <f t="shared" ref="F4:F7" si="0">E4*D4</f>
        <v>29250</v>
      </c>
      <c r="G4" s="21"/>
    </row>
    <row r="5" ht="16.5" spans="1:7">
      <c r="A5" s="22"/>
      <c r="B5" s="17" t="s">
        <v>1046</v>
      </c>
      <c r="C5" s="18" t="s">
        <v>1047</v>
      </c>
      <c r="D5" s="19">
        <v>100</v>
      </c>
      <c r="E5" s="20">
        <v>150</v>
      </c>
      <c r="F5" s="20">
        <f t="shared" si="0"/>
        <v>15000</v>
      </c>
      <c r="G5" s="21"/>
    </row>
    <row r="6" ht="16.5" spans="1:7">
      <c r="A6" s="22"/>
      <c r="B6" s="17" t="s">
        <v>1048</v>
      </c>
      <c r="C6" s="18" t="s">
        <v>1047</v>
      </c>
      <c r="D6" s="23">
        <v>807</v>
      </c>
      <c r="E6" s="23">
        <v>15</v>
      </c>
      <c r="F6" s="20">
        <f t="shared" si="0"/>
        <v>12105</v>
      </c>
      <c r="G6" s="21"/>
    </row>
    <row r="7" ht="16.5" spans="1:7">
      <c r="A7" s="22"/>
      <c r="B7" s="17" t="s">
        <v>1049</v>
      </c>
      <c r="C7" s="18" t="s">
        <v>1047</v>
      </c>
      <c r="D7" s="23">
        <v>200</v>
      </c>
      <c r="E7" s="23">
        <v>10</v>
      </c>
      <c r="F7" s="20">
        <f t="shared" si="0"/>
        <v>2000</v>
      </c>
      <c r="G7" s="21"/>
    </row>
    <row r="8" ht="15.75" spans="1:7">
      <c r="A8" s="22"/>
      <c r="B8" s="17" t="s">
        <v>1050</v>
      </c>
      <c r="C8" s="14" t="s">
        <v>230</v>
      </c>
      <c r="D8" s="19"/>
      <c r="E8" s="20"/>
      <c r="F8" s="20"/>
      <c r="G8" s="21"/>
    </row>
    <row r="9" ht="15.75" spans="1:7">
      <c r="A9" s="22"/>
      <c r="B9" s="17" t="s">
        <v>1051</v>
      </c>
      <c r="C9" s="18" t="s">
        <v>1045</v>
      </c>
      <c r="D9" s="19">
        <v>300</v>
      </c>
      <c r="E9" s="20">
        <v>2.5</v>
      </c>
      <c r="F9" s="20">
        <f t="shared" ref="F9:F31" si="1">E9*D9</f>
        <v>750</v>
      </c>
      <c r="G9" s="21"/>
    </row>
    <row r="10" ht="15.75" spans="1:7">
      <c r="A10" s="22"/>
      <c r="B10" s="17" t="s">
        <v>1052</v>
      </c>
      <c r="C10" s="14" t="s">
        <v>263</v>
      </c>
      <c r="D10" s="19">
        <v>15</v>
      </c>
      <c r="E10" s="20">
        <v>310</v>
      </c>
      <c r="F10" s="20">
        <f t="shared" si="1"/>
        <v>4650</v>
      </c>
      <c r="G10" s="21"/>
    </row>
    <row r="11" ht="14.25" spans="1:7">
      <c r="A11" s="22"/>
      <c r="B11" s="17" t="s">
        <v>1053</v>
      </c>
      <c r="C11" s="18" t="s">
        <v>1045</v>
      </c>
      <c r="D11" s="19">
        <v>150</v>
      </c>
      <c r="E11" s="20">
        <v>110</v>
      </c>
      <c r="F11" s="20">
        <f t="shared" si="1"/>
        <v>16500</v>
      </c>
      <c r="G11" s="14" t="s">
        <v>1054</v>
      </c>
    </row>
    <row r="12" spans="1:7">
      <c r="A12" s="22"/>
      <c r="B12" s="17" t="s">
        <v>1055</v>
      </c>
      <c r="C12" s="14" t="s">
        <v>1056</v>
      </c>
      <c r="D12" s="19">
        <v>13</v>
      </c>
      <c r="E12" s="20">
        <v>160</v>
      </c>
      <c r="F12" s="20">
        <f t="shared" si="1"/>
        <v>2080</v>
      </c>
      <c r="G12" s="14"/>
    </row>
    <row r="13" spans="1:7">
      <c r="A13" s="22"/>
      <c r="B13" s="17" t="s">
        <v>1057</v>
      </c>
      <c r="C13" s="14" t="s">
        <v>1056</v>
      </c>
      <c r="D13" s="19">
        <v>13</v>
      </c>
      <c r="E13" s="20">
        <v>160</v>
      </c>
      <c r="F13" s="20">
        <f t="shared" si="1"/>
        <v>2080</v>
      </c>
      <c r="G13" s="14"/>
    </row>
    <row r="14" spans="1:7">
      <c r="A14" s="22"/>
      <c r="B14" s="17" t="s">
        <v>1058</v>
      </c>
      <c r="C14" s="14" t="s">
        <v>1056</v>
      </c>
      <c r="D14" s="19">
        <v>15</v>
      </c>
      <c r="E14" s="20">
        <v>160</v>
      </c>
      <c r="F14" s="20">
        <f t="shared" si="1"/>
        <v>2400</v>
      </c>
      <c r="G14" s="14"/>
    </row>
    <row r="15" spans="1:7">
      <c r="A15" s="22"/>
      <c r="B15" s="17" t="s">
        <v>1059</v>
      </c>
      <c r="C15" s="14" t="s">
        <v>230</v>
      </c>
      <c r="D15" s="19">
        <v>10</v>
      </c>
      <c r="E15" s="20">
        <v>120</v>
      </c>
      <c r="F15" s="20">
        <f t="shared" si="1"/>
        <v>1200</v>
      </c>
      <c r="G15" s="14"/>
    </row>
    <row r="16" spans="1:7">
      <c r="A16" s="22"/>
      <c r="B16" s="17" t="s">
        <v>1060</v>
      </c>
      <c r="C16" s="14" t="s">
        <v>1061</v>
      </c>
      <c r="D16" s="19">
        <v>10</v>
      </c>
      <c r="E16" s="20">
        <v>1000</v>
      </c>
      <c r="F16" s="20">
        <f t="shared" si="1"/>
        <v>10000</v>
      </c>
      <c r="G16" s="24"/>
    </row>
    <row r="17" spans="1:7">
      <c r="A17" s="22"/>
      <c r="B17" s="17" t="s">
        <v>1062</v>
      </c>
      <c r="C17" s="14" t="s">
        <v>468</v>
      </c>
      <c r="D17" s="19">
        <v>200</v>
      </c>
      <c r="E17" s="20">
        <v>20</v>
      </c>
      <c r="F17" s="20">
        <f t="shared" si="1"/>
        <v>4000</v>
      </c>
      <c r="G17" s="24"/>
    </row>
    <row r="18" spans="1:7">
      <c r="A18" s="25"/>
      <c r="B18" s="17" t="s">
        <v>1063</v>
      </c>
      <c r="C18" s="14"/>
      <c r="D18" s="19"/>
      <c r="E18" s="20"/>
      <c r="F18" s="20">
        <f t="shared" si="1"/>
        <v>0</v>
      </c>
      <c r="G18" s="24"/>
    </row>
    <row r="19" spans="1:7">
      <c r="A19" s="16" t="s">
        <v>1064</v>
      </c>
      <c r="B19" s="17" t="s">
        <v>1065</v>
      </c>
      <c r="C19" s="14" t="s">
        <v>1066</v>
      </c>
      <c r="D19" s="19">
        <v>20</v>
      </c>
      <c r="E19" s="20">
        <v>70</v>
      </c>
      <c r="F19" s="20">
        <f t="shared" si="1"/>
        <v>1400</v>
      </c>
      <c r="G19" s="24"/>
    </row>
    <row r="20" spans="1:7">
      <c r="A20" s="22"/>
      <c r="B20" s="17" t="s">
        <v>1067</v>
      </c>
      <c r="C20" s="14" t="s">
        <v>1068</v>
      </c>
      <c r="D20" s="19">
        <v>20</v>
      </c>
      <c r="E20" s="20">
        <v>400</v>
      </c>
      <c r="F20" s="20">
        <f t="shared" si="1"/>
        <v>8000</v>
      </c>
      <c r="G20" s="24"/>
    </row>
    <row r="21" spans="1:7">
      <c r="A21" s="22"/>
      <c r="B21" s="17" t="s">
        <v>1069</v>
      </c>
      <c r="C21" s="14" t="s">
        <v>230</v>
      </c>
      <c r="D21" s="19">
        <v>20</v>
      </c>
      <c r="E21" s="20">
        <v>200</v>
      </c>
      <c r="F21" s="20">
        <f t="shared" si="1"/>
        <v>4000</v>
      </c>
      <c r="G21" s="24"/>
    </row>
    <row r="22" spans="1:7">
      <c r="A22" s="25"/>
      <c r="B22" s="17" t="s">
        <v>1063</v>
      </c>
      <c r="C22" s="14"/>
      <c r="D22" s="19"/>
      <c r="E22" s="20"/>
      <c r="F22" s="20">
        <f t="shared" si="1"/>
        <v>0</v>
      </c>
      <c r="G22" s="24"/>
    </row>
    <row r="23" ht="20.45" customHeight="1" spans="1:7">
      <c r="A23" s="17" t="s">
        <v>1070</v>
      </c>
      <c r="B23" s="17" t="s">
        <v>1071</v>
      </c>
      <c r="C23" s="14" t="s">
        <v>1068</v>
      </c>
      <c r="D23" s="19">
        <v>40</v>
      </c>
      <c r="E23" s="20">
        <v>3000</v>
      </c>
      <c r="F23" s="20">
        <f t="shared" si="1"/>
        <v>120000</v>
      </c>
      <c r="G23" s="14"/>
    </row>
    <row r="24" ht="39" customHeight="1" spans="1:7">
      <c r="A24" s="17"/>
      <c r="B24" s="17" t="s">
        <v>1063</v>
      </c>
      <c r="C24" s="24"/>
      <c r="D24" s="19"/>
      <c r="E24" s="20"/>
      <c r="F24" s="20">
        <f t="shared" si="1"/>
        <v>0</v>
      </c>
      <c r="G24" s="24"/>
    </row>
    <row r="25" ht="20.45" customHeight="1" spans="1:7">
      <c r="A25" s="26" t="s">
        <v>1072</v>
      </c>
      <c r="B25" s="17" t="s">
        <v>1073</v>
      </c>
      <c r="C25" s="14" t="s">
        <v>1068</v>
      </c>
      <c r="D25" s="19">
        <v>40</v>
      </c>
      <c r="E25" s="20">
        <v>1000</v>
      </c>
      <c r="F25" s="20">
        <f t="shared" si="1"/>
        <v>40000</v>
      </c>
      <c r="G25" s="14"/>
    </row>
    <row r="26" ht="56.45" customHeight="1" spans="1:7">
      <c r="A26" s="26"/>
      <c r="B26" s="17" t="s">
        <v>1063</v>
      </c>
      <c r="C26" s="24"/>
      <c r="D26" s="19"/>
      <c r="E26" s="20"/>
      <c r="F26" s="20">
        <f t="shared" si="1"/>
        <v>0</v>
      </c>
      <c r="G26" s="24"/>
    </row>
    <row r="27" spans="1:7">
      <c r="A27" s="16" t="s">
        <v>1074</v>
      </c>
      <c r="B27" s="17" t="s">
        <v>1075</v>
      </c>
      <c r="C27" s="14" t="s">
        <v>234</v>
      </c>
      <c r="D27" s="19">
        <v>150</v>
      </c>
      <c r="E27" s="20">
        <f>60+53.548</f>
        <v>113.548</v>
      </c>
      <c r="F27" s="20">
        <f t="shared" si="1"/>
        <v>17032.2</v>
      </c>
      <c r="G27" s="24"/>
    </row>
    <row r="28" spans="1:7">
      <c r="A28" s="22"/>
      <c r="B28" s="17" t="s">
        <v>1076</v>
      </c>
      <c r="C28" s="14" t="s">
        <v>1077</v>
      </c>
      <c r="D28" s="19">
        <v>150</v>
      </c>
      <c r="E28" s="20">
        <v>35</v>
      </c>
      <c r="F28" s="20">
        <f t="shared" si="1"/>
        <v>5250</v>
      </c>
      <c r="G28" s="24"/>
    </row>
    <row r="29" spans="1:7">
      <c r="A29" s="22"/>
      <c r="B29" s="17" t="s">
        <v>1078</v>
      </c>
      <c r="C29" s="14" t="s">
        <v>1079</v>
      </c>
      <c r="D29" s="19">
        <v>150</v>
      </c>
      <c r="E29" s="20">
        <v>35</v>
      </c>
      <c r="F29" s="20">
        <f t="shared" si="1"/>
        <v>5250</v>
      </c>
      <c r="G29" s="24"/>
    </row>
    <row r="30" spans="1:7">
      <c r="A30" s="22"/>
      <c r="B30" s="17" t="s">
        <v>1080</v>
      </c>
      <c r="C30" s="14" t="s">
        <v>1081</v>
      </c>
      <c r="D30" s="19">
        <v>150</v>
      </c>
      <c r="E30" s="20">
        <v>30</v>
      </c>
      <c r="F30" s="20">
        <f t="shared" si="1"/>
        <v>4500</v>
      </c>
      <c r="G30" s="24"/>
    </row>
    <row r="31" spans="1:7">
      <c r="A31" s="22"/>
      <c r="B31" s="17" t="s">
        <v>1082</v>
      </c>
      <c r="C31" s="14" t="s">
        <v>1079</v>
      </c>
      <c r="D31" s="19">
        <v>150</v>
      </c>
      <c r="E31" s="20">
        <v>5</v>
      </c>
      <c r="F31" s="20">
        <f t="shared" si="1"/>
        <v>750</v>
      </c>
      <c r="G31" s="24"/>
    </row>
    <row r="32" spans="1:7">
      <c r="A32" s="22"/>
      <c r="B32" s="17" t="s">
        <v>1083</v>
      </c>
      <c r="C32" s="14" t="s">
        <v>230</v>
      </c>
      <c r="D32" s="19">
        <v>150</v>
      </c>
      <c r="E32" s="20">
        <v>50</v>
      </c>
      <c r="F32" s="20">
        <f t="shared" ref="F32:F38" si="2">E32*D32</f>
        <v>7500</v>
      </c>
      <c r="G32" s="24"/>
    </row>
    <row r="33" spans="1:7">
      <c r="A33" s="22"/>
      <c r="B33" s="17" t="s">
        <v>1084</v>
      </c>
      <c r="C33" s="14" t="s">
        <v>230</v>
      </c>
      <c r="D33" s="19">
        <v>150</v>
      </c>
      <c r="E33" s="20">
        <v>10</v>
      </c>
      <c r="F33" s="20">
        <f t="shared" si="2"/>
        <v>1500</v>
      </c>
      <c r="G33" s="24"/>
    </row>
    <row r="34" spans="1:7">
      <c r="A34" s="22"/>
      <c r="B34" s="17" t="s">
        <v>1085</v>
      </c>
      <c r="C34" s="14" t="s">
        <v>1079</v>
      </c>
      <c r="D34" s="19">
        <v>150</v>
      </c>
      <c r="E34" s="20">
        <v>5</v>
      </c>
      <c r="F34" s="20">
        <f t="shared" si="2"/>
        <v>750</v>
      </c>
      <c r="G34" s="24"/>
    </row>
    <row r="35" spans="1:7">
      <c r="A35" s="22"/>
      <c r="B35" s="17" t="s">
        <v>1086</v>
      </c>
      <c r="C35" s="14" t="s">
        <v>1079</v>
      </c>
      <c r="D35" s="19">
        <v>150</v>
      </c>
      <c r="E35" s="20">
        <v>50</v>
      </c>
      <c r="F35" s="20">
        <f t="shared" si="2"/>
        <v>7500</v>
      </c>
      <c r="G35" s="24"/>
    </row>
    <row r="36" spans="1:7">
      <c r="A36" s="22"/>
      <c r="B36" s="17" t="s">
        <v>1087</v>
      </c>
      <c r="C36" s="14" t="s">
        <v>1079</v>
      </c>
      <c r="D36" s="19">
        <v>150</v>
      </c>
      <c r="E36" s="20">
        <v>3</v>
      </c>
      <c r="F36" s="20">
        <f t="shared" si="2"/>
        <v>450</v>
      </c>
      <c r="G36" s="24"/>
    </row>
    <row r="37" spans="1:7">
      <c r="A37" s="22"/>
      <c r="B37" s="17" t="s">
        <v>1088</v>
      </c>
      <c r="C37" s="14" t="s">
        <v>230</v>
      </c>
      <c r="D37" s="19">
        <v>150</v>
      </c>
      <c r="E37" s="20">
        <v>2</v>
      </c>
      <c r="F37" s="20">
        <f t="shared" si="2"/>
        <v>300</v>
      </c>
      <c r="G37" s="24"/>
    </row>
    <row r="38" spans="1:7">
      <c r="A38" s="22"/>
      <c r="B38" s="17" t="s">
        <v>1089</v>
      </c>
      <c r="C38" s="14" t="s">
        <v>1090</v>
      </c>
      <c r="D38" s="19">
        <v>150</v>
      </c>
      <c r="E38" s="20">
        <v>3</v>
      </c>
      <c r="F38" s="20">
        <f t="shared" si="2"/>
        <v>450</v>
      </c>
      <c r="G38" s="24"/>
    </row>
    <row r="39" spans="1:7">
      <c r="A39" s="25"/>
      <c r="B39" s="17" t="s">
        <v>1063</v>
      </c>
      <c r="C39" s="14"/>
      <c r="D39" s="19"/>
      <c r="E39" s="20"/>
      <c r="F39" s="20">
        <f t="shared" ref="F38:F43" si="3">E39*D39</f>
        <v>0</v>
      </c>
      <c r="G39" s="24"/>
    </row>
    <row r="40" spans="1:7">
      <c r="A40" s="16" t="s">
        <v>1091</v>
      </c>
      <c r="B40" s="17" t="s">
        <v>1092</v>
      </c>
      <c r="C40" s="14" t="s">
        <v>1093</v>
      </c>
      <c r="D40" s="19">
        <v>150</v>
      </c>
      <c r="E40" s="20">
        <v>30</v>
      </c>
      <c r="F40" s="20">
        <f t="shared" si="3"/>
        <v>4500</v>
      </c>
      <c r="G40" s="24"/>
    </row>
    <row r="41" spans="1:7">
      <c r="A41" s="22"/>
      <c r="B41" s="17" t="s">
        <v>1094</v>
      </c>
      <c r="C41" s="14" t="s">
        <v>1093</v>
      </c>
      <c r="D41" s="19">
        <v>150</v>
      </c>
      <c r="E41" s="20">
        <v>30</v>
      </c>
      <c r="F41" s="20">
        <f t="shared" si="3"/>
        <v>4500</v>
      </c>
      <c r="G41" s="24"/>
    </row>
    <row r="42" spans="1:7">
      <c r="A42" s="22"/>
      <c r="B42" s="17" t="s">
        <v>1095</v>
      </c>
      <c r="C42" s="14" t="s">
        <v>468</v>
      </c>
      <c r="D42" s="19">
        <v>30</v>
      </c>
      <c r="E42" s="20">
        <v>10</v>
      </c>
      <c r="F42" s="20">
        <f t="shared" si="3"/>
        <v>300</v>
      </c>
      <c r="G42" s="24"/>
    </row>
    <row r="43" spans="1:7">
      <c r="A43" s="22"/>
      <c r="B43" s="17" t="s">
        <v>1096</v>
      </c>
      <c r="C43" s="14" t="s">
        <v>230</v>
      </c>
      <c r="D43" s="19">
        <v>30</v>
      </c>
      <c r="E43" s="20">
        <v>32</v>
      </c>
      <c r="F43" s="20">
        <f t="shared" si="3"/>
        <v>960</v>
      </c>
      <c r="G43" s="24"/>
    </row>
    <row r="44" spans="1:7">
      <c r="A44" s="25"/>
      <c r="B44" s="17" t="s">
        <v>1063</v>
      </c>
      <c r="C44" s="14"/>
      <c r="D44" s="19"/>
      <c r="E44" s="20"/>
      <c r="F44" s="20">
        <f t="shared" ref="F42:F54" si="4">E44*D44</f>
        <v>0</v>
      </c>
      <c r="G44" s="24"/>
    </row>
    <row r="45" spans="1:7">
      <c r="A45" s="17" t="s">
        <v>1097</v>
      </c>
      <c r="B45" s="27"/>
      <c r="C45" s="24"/>
      <c r="D45" s="19"/>
      <c r="E45" s="20"/>
      <c r="F45" s="20">
        <f t="shared" si="4"/>
        <v>0</v>
      </c>
      <c r="G45" s="24"/>
    </row>
    <row r="46" ht="21.6" customHeight="1" spans="1:7">
      <c r="A46" s="17"/>
      <c r="B46" s="17"/>
      <c r="C46" s="24"/>
      <c r="D46" s="19"/>
      <c r="E46" s="20"/>
      <c r="F46" s="20">
        <f t="shared" si="4"/>
        <v>0</v>
      </c>
      <c r="G46" s="24"/>
    </row>
    <row r="47" spans="1:7">
      <c r="A47" s="16" t="s">
        <v>1098</v>
      </c>
      <c r="B47" s="17" t="s">
        <v>1099</v>
      </c>
      <c r="C47" s="14" t="s">
        <v>263</v>
      </c>
      <c r="D47" s="19">
        <v>10</v>
      </c>
      <c r="E47" s="20">
        <v>260</v>
      </c>
      <c r="F47" s="20">
        <f t="shared" si="4"/>
        <v>2600</v>
      </c>
      <c r="G47" s="24"/>
    </row>
    <row r="48" spans="1:7">
      <c r="A48" s="25"/>
      <c r="B48" s="17" t="s">
        <v>1063</v>
      </c>
      <c r="C48" s="14"/>
      <c r="D48" s="19"/>
      <c r="E48" s="20"/>
      <c r="F48" s="20">
        <f t="shared" si="4"/>
        <v>0</v>
      </c>
      <c r="G48" s="24"/>
    </row>
    <row r="49" spans="1:7">
      <c r="A49" s="16" t="s">
        <v>1100</v>
      </c>
      <c r="B49" s="17" t="s">
        <v>1101</v>
      </c>
      <c r="C49" s="14" t="s">
        <v>1093</v>
      </c>
      <c r="D49" s="19">
        <v>150</v>
      </c>
      <c r="E49" s="20">
        <v>210</v>
      </c>
      <c r="F49" s="20">
        <f t="shared" si="4"/>
        <v>31500</v>
      </c>
      <c r="G49" s="24"/>
    </row>
    <row r="50" spans="1:7">
      <c r="A50" s="25"/>
      <c r="B50" s="17" t="s">
        <v>1063</v>
      </c>
      <c r="C50" s="14"/>
      <c r="D50" s="19"/>
      <c r="E50" s="20"/>
      <c r="F50" s="20">
        <f t="shared" si="4"/>
        <v>0</v>
      </c>
      <c r="G50" s="24"/>
    </row>
    <row r="51" spans="1:7">
      <c r="A51" s="17" t="s">
        <v>1102</v>
      </c>
      <c r="B51" s="17" t="s">
        <v>1103</v>
      </c>
      <c r="C51" s="14" t="s">
        <v>1104</v>
      </c>
      <c r="D51" s="19">
        <v>150</v>
      </c>
      <c r="E51" s="20">
        <v>16</v>
      </c>
      <c r="F51" s="20">
        <f t="shared" si="4"/>
        <v>2400</v>
      </c>
      <c r="G51" s="24"/>
    </row>
    <row r="52" spans="1:7">
      <c r="A52" s="17"/>
      <c r="B52" s="17" t="s">
        <v>1105</v>
      </c>
      <c r="C52" s="14" t="s">
        <v>230</v>
      </c>
      <c r="D52" s="19">
        <v>150</v>
      </c>
      <c r="E52" s="28">
        <v>2</v>
      </c>
      <c r="F52" s="20">
        <f t="shared" si="4"/>
        <v>300</v>
      </c>
      <c r="G52" s="24"/>
    </row>
    <row r="53" spans="1:7">
      <c r="A53" s="17"/>
      <c r="B53" s="17" t="s">
        <v>1106</v>
      </c>
      <c r="C53" s="24" t="s">
        <v>1107</v>
      </c>
      <c r="D53" s="29">
        <v>30</v>
      </c>
      <c r="E53" s="20">
        <v>9</v>
      </c>
      <c r="F53" s="20">
        <f t="shared" si="4"/>
        <v>270</v>
      </c>
      <c r="G53" s="24"/>
    </row>
    <row r="54" ht="33" customHeight="1" spans="1:7">
      <c r="A54" s="17"/>
      <c r="B54" s="17" t="s">
        <v>1063</v>
      </c>
      <c r="C54" s="30"/>
      <c r="D54" s="31"/>
      <c r="E54" s="20"/>
      <c r="F54" s="20">
        <f t="shared" si="4"/>
        <v>0</v>
      </c>
      <c r="G54" s="24"/>
    </row>
    <row r="55" s="4" customFormat="1" spans="1:7">
      <c r="A55" s="32"/>
      <c r="B55" s="32"/>
      <c r="C55" s="33"/>
      <c r="D55" s="34"/>
      <c r="E55" s="35"/>
      <c r="F55" s="35">
        <f>ROUND(SUM(F4:F54),0)</f>
        <v>373977</v>
      </c>
      <c r="G55" s="36"/>
    </row>
    <row r="56" spans="1:7">
      <c r="A56" s="37" t="s">
        <v>49</v>
      </c>
      <c r="B56" s="38"/>
      <c r="C56" s="39"/>
      <c r="D56" s="39"/>
      <c r="E56" s="39"/>
      <c r="F56" s="39"/>
      <c r="G56" s="39"/>
    </row>
    <row r="57" spans="1:7">
      <c r="A57" s="40" t="s">
        <v>1108</v>
      </c>
      <c r="B57" s="40"/>
      <c r="C57" s="41"/>
      <c r="D57" s="42"/>
      <c r="E57" s="42"/>
      <c r="F57" s="42"/>
      <c r="G57" s="41"/>
    </row>
    <row r="62" spans="1:7">
      <c r="G62" s="43"/>
    </row>
  </sheetData>
  <autoFilter xmlns:etc="http://www.wps.cn/officeDocument/2017/etCustomData" ref="A1:G59" etc:filterBottomFollowUsedRange="0">
    <extLst/>
  </autoFilter>
  <mergeCells count="16">
    <mergeCell ref="A1:G1"/>
    <mergeCell ref="A2:G2"/>
    <mergeCell ref="B56:G56"/>
    <mergeCell ref="A57:G57"/>
    <mergeCell ref="A4:A18"/>
    <mergeCell ref="A19:A22"/>
    <mergeCell ref="A23:A24"/>
    <mergeCell ref="A25:A26"/>
    <mergeCell ref="A27:A39"/>
    <mergeCell ref="A40:A44"/>
    <mergeCell ref="A45:A46"/>
    <mergeCell ref="A47:A48"/>
    <mergeCell ref="A49:A50"/>
    <mergeCell ref="A51:A54"/>
    <mergeCell ref="G11:G15"/>
    <mergeCell ref="G19:G20"/>
  </mergeCells>
  <pageMargins left="0.7" right="0.7" top="0.75" bottom="0.75" header="0.3" footer="0.3"/>
  <pageSetup paperSize="9" scale="69" orientation="portrait"/>
  <headerFooter>
    <oddFooter>&amp;C第 &amp;P 页，共28 页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45"/>
  <sheetViews>
    <sheetView workbookViewId="0">
      <selection activeCell="L9" sqref="L9"/>
    </sheetView>
  </sheetViews>
  <sheetFormatPr defaultColWidth="9" defaultRowHeight="13.5"/>
  <cols>
    <col min="1" max="1" width="7.375" style="2" customWidth="1"/>
    <col min="2" max="2" width="9.375" style="2" customWidth="1"/>
    <col min="3" max="3" width="38.375" customWidth="1"/>
    <col min="4" max="4" width="36.375" style="3" customWidth="1"/>
    <col min="5" max="5" width="7" customWidth="1"/>
    <col min="6" max="6" width="8.375" customWidth="1"/>
    <col min="7" max="7" width="9.625" customWidth="1"/>
    <col min="8" max="8" width="4.5" customWidth="1"/>
    <col min="9" max="9" width="12.625" customWidth="1"/>
    <col min="10" max="10" width="9.375" customWidth="1"/>
    <col min="11" max="11" width="7.375" customWidth="1"/>
    <col min="12" max="12" width="12.625" customWidth="1"/>
    <col min="13" max="14" width="11.5" customWidth="1"/>
    <col min="15" max="15" width="12.75" customWidth="1"/>
    <col min="16" max="16" width="59.375" style="3" customWidth="1"/>
  </cols>
  <sheetData>
    <row r="1" spans="1:16">
      <c r="A1" s="2" t="s">
        <v>1109</v>
      </c>
      <c r="B1" s="2" t="s">
        <v>992</v>
      </c>
      <c r="C1" t="s">
        <v>1110</v>
      </c>
      <c r="D1" s="3" t="s">
        <v>993</v>
      </c>
      <c r="E1" t="s">
        <v>994</v>
      </c>
      <c r="F1" t="s">
        <v>1111</v>
      </c>
      <c r="G1" t="s">
        <v>1112</v>
      </c>
      <c r="H1" t="s">
        <v>1113</v>
      </c>
      <c r="I1" t="s">
        <v>47</v>
      </c>
      <c r="J1" t="s">
        <v>50</v>
      </c>
      <c r="K1" t="s">
        <v>51</v>
      </c>
      <c r="L1" t="s">
        <v>49</v>
      </c>
      <c r="M1" t="s">
        <v>52</v>
      </c>
      <c r="N1" t="s">
        <v>53</v>
      </c>
      <c r="O1" t="s">
        <v>43</v>
      </c>
      <c r="P1" s="3" t="s">
        <v>44</v>
      </c>
    </row>
    <row r="2" spans="1:16">
      <c r="A2" s="2">
        <v>0</v>
      </c>
      <c r="B2" s="2">
        <v>1</v>
      </c>
      <c r="C2" t="s">
        <v>1114</v>
      </c>
      <c r="L2">
        <v>11828964.4728324</v>
      </c>
      <c r="M2">
        <v>5370095.66</v>
      </c>
      <c r="N2">
        <v>2938281.74</v>
      </c>
    </row>
    <row r="3" spans="1:16">
      <c r="A3" s="2">
        <v>1</v>
      </c>
      <c r="B3" s="2">
        <v>1.1</v>
      </c>
      <c r="C3" t="s">
        <v>1115</v>
      </c>
    </row>
    <row r="4" ht="54" spans="1:16">
      <c r="A4" s="2">
        <v>2</v>
      </c>
      <c r="B4" s="2" t="s">
        <v>56</v>
      </c>
      <c r="C4" t="s">
        <v>57</v>
      </c>
      <c r="D4" s="3" t="s">
        <v>115</v>
      </c>
      <c r="E4" t="s">
        <v>59</v>
      </c>
      <c r="F4">
        <v>120</v>
      </c>
      <c r="I4">
        <v>794.40165180531</v>
      </c>
      <c r="J4">
        <v>260</v>
      </c>
      <c r="K4">
        <v>192.5</v>
      </c>
      <c r="L4">
        <v>95328.1982166372</v>
      </c>
      <c r="M4">
        <v>31200</v>
      </c>
      <c r="N4">
        <v>23100</v>
      </c>
      <c r="P4" s="3" t="s">
        <v>60</v>
      </c>
    </row>
    <row r="5" spans="1:16">
      <c r="A5" s="2">
        <v>3</v>
      </c>
      <c r="B5" s="2" t="s">
        <v>61</v>
      </c>
      <c r="C5" t="s">
        <v>62</v>
      </c>
      <c r="D5" s="3" t="s">
        <v>63</v>
      </c>
      <c r="E5" t="s">
        <v>64</v>
      </c>
      <c r="F5">
        <v>9</v>
      </c>
      <c r="I5">
        <v>5161</v>
      </c>
      <c r="J5">
        <v>3250</v>
      </c>
      <c r="K5">
        <v>850</v>
      </c>
      <c r="L5">
        <v>46449</v>
      </c>
      <c r="M5">
        <v>29250</v>
      </c>
      <c r="N5">
        <v>7650</v>
      </c>
      <c r="P5" s="3" t="s">
        <v>65</v>
      </c>
    </row>
    <row r="6" ht="27" spans="1:16">
      <c r="A6" s="2">
        <v>4</v>
      </c>
      <c r="B6" s="2" t="s">
        <v>67</v>
      </c>
      <c r="C6" t="s">
        <v>68</v>
      </c>
      <c r="D6" s="3" t="s">
        <v>63</v>
      </c>
      <c r="E6" t="s">
        <v>64</v>
      </c>
      <c r="F6">
        <v>209</v>
      </c>
      <c r="I6">
        <v>7251.57864778761</v>
      </c>
      <c r="J6">
        <v>3510</v>
      </c>
      <c r="K6">
        <v>2150</v>
      </c>
      <c r="L6">
        <v>1515579.93738761</v>
      </c>
      <c r="M6">
        <v>733590</v>
      </c>
      <c r="N6">
        <v>449350</v>
      </c>
      <c r="P6" s="3" t="s">
        <v>69</v>
      </c>
    </row>
    <row r="7" ht="27" spans="1:16">
      <c r="A7" s="2">
        <v>5</v>
      </c>
      <c r="B7" s="2" t="s">
        <v>71</v>
      </c>
      <c r="C7" t="s">
        <v>72</v>
      </c>
      <c r="D7" s="3" t="s">
        <v>73</v>
      </c>
      <c r="E7" t="s">
        <v>74</v>
      </c>
      <c r="F7">
        <v>1536</v>
      </c>
      <c r="I7">
        <v>127.021847787611</v>
      </c>
      <c r="J7">
        <v>72</v>
      </c>
      <c r="K7">
        <v>22</v>
      </c>
      <c r="L7">
        <v>195105.55820177</v>
      </c>
      <c r="M7">
        <v>110592</v>
      </c>
      <c r="N7">
        <v>33792</v>
      </c>
      <c r="P7" s="3" t="s">
        <v>75</v>
      </c>
    </row>
    <row r="8" spans="1:16">
      <c r="A8" s="2">
        <v>6</v>
      </c>
      <c r="B8" s="2" t="s">
        <v>76</v>
      </c>
      <c r="C8" t="s">
        <v>77</v>
      </c>
      <c r="D8" s="3" t="s">
        <v>78</v>
      </c>
      <c r="E8" t="s">
        <v>74</v>
      </c>
      <c r="F8">
        <v>22.32</v>
      </c>
      <c r="I8">
        <v>115.608679646018</v>
      </c>
      <c r="J8">
        <v>63.5</v>
      </c>
      <c r="K8">
        <v>22</v>
      </c>
      <c r="L8">
        <v>2580.38572969912</v>
      </c>
      <c r="M8">
        <v>1417.32</v>
      </c>
      <c r="N8">
        <v>491.04</v>
      </c>
      <c r="P8" s="3" t="s">
        <v>79</v>
      </c>
    </row>
    <row r="9" spans="1:16">
      <c r="A9" s="2">
        <v>7</v>
      </c>
      <c r="B9" s="2" t="s">
        <v>80</v>
      </c>
      <c r="C9" t="s">
        <v>81</v>
      </c>
      <c r="D9" s="3" t="s">
        <v>82</v>
      </c>
      <c r="E9" t="s">
        <v>74</v>
      </c>
      <c r="F9">
        <v>3410</v>
      </c>
      <c r="I9">
        <v>108.153246017699</v>
      </c>
      <c r="J9">
        <v>50.5</v>
      </c>
      <c r="K9">
        <v>22</v>
      </c>
      <c r="L9">
        <v>368802.568920354</v>
      </c>
      <c r="M9">
        <v>172205</v>
      </c>
      <c r="N9">
        <v>75020</v>
      </c>
      <c r="P9" s="3" t="s">
        <v>79</v>
      </c>
    </row>
    <row r="10" ht="27" spans="1:16">
      <c r="A10" s="2">
        <v>8</v>
      </c>
      <c r="B10" s="2" t="s">
        <v>83</v>
      </c>
      <c r="C10" t="s">
        <v>84</v>
      </c>
      <c r="D10" s="3" t="s">
        <v>85</v>
      </c>
      <c r="E10" t="s">
        <v>74</v>
      </c>
      <c r="F10">
        <v>420</v>
      </c>
      <c r="I10">
        <v>57.2001132743363</v>
      </c>
      <c r="J10">
        <v>20</v>
      </c>
      <c r="K10">
        <v>22</v>
      </c>
      <c r="L10">
        <v>24024.0475752212</v>
      </c>
      <c r="M10">
        <v>8400</v>
      </c>
      <c r="N10">
        <v>9240</v>
      </c>
      <c r="P10" s="3" t="s">
        <v>79</v>
      </c>
    </row>
    <row r="11" ht="27" spans="1:16">
      <c r="A11" s="2">
        <v>9</v>
      </c>
      <c r="B11" s="2" t="s">
        <v>86</v>
      </c>
      <c r="C11" t="s">
        <v>87</v>
      </c>
      <c r="D11" s="3" t="s">
        <v>88</v>
      </c>
      <c r="E11" t="s">
        <v>74</v>
      </c>
      <c r="F11">
        <v>1558.32</v>
      </c>
      <c r="I11">
        <v>64.015135841724</v>
      </c>
      <c r="J11">
        <v>41</v>
      </c>
      <c r="K11">
        <v>10</v>
      </c>
      <c r="L11">
        <v>99756.0664848754</v>
      </c>
      <c r="M11">
        <v>63891.12</v>
      </c>
      <c r="N11">
        <v>15583.2</v>
      </c>
      <c r="P11" s="3" t="s">
        <v>89</v>
      </c>
    </row>
    <row r="12" ht="27" spans="1:16">
      <c r="A12" s="2">
        <v>10</v>
      </c>
      <c r="B12" s="2" t="s">
        <v>91</v>
      </c>
      <c r="C12" t="s">
        <v>92</v>
      </c>
      <c r="D12" s="3" t="s">
        <v>93</v>
      </c>
      <c r="E12" t="s">
        <v>59</v>
      </c>
      <c r="F12">
        <v>30</v>
      </c>
      <c r="I12">
        <v>1208.7664</v>
      </c>
      <c r="J12">
        <v>436</v>
      </c>
      <c r="K12">
        <v>520</v>
      </c>
      <c r="L12">
        <v>36262.992</v>
      </c>
      <c r="M12">
        <v>13080</v>
      </c>
      <c r="N12">
        <v>15600</v>
      </c>
      <c r="P12" s="3" t="s">
        <v>94</v>
      </c>
    </row>
    <row r="13" spans="1:16">
      <c r="A13" s="2">
        <v>11</v>
      </c>
      <c r="B13" s="2" t="s">
        <v>95</v>
      </c>
      <c r="C13" t="s">
        <v>96</v>
      </c>
      <c r="D13" s="3" t="s">
        <v>97</v>
      </c>
      <c r="E13" t="s">
        <v>74</v>
      </c>
      <c r="F13">
        <v>36</v>
      </c>
      <c r="I13">
        <v>261.719610619469</v>
      </c>
      <c r="J13">
        <v>200</v>
      </c>
      <c r="K13">
        <v>30</v>
      </c>
      <c r="L13">
        <v>9421.90598230088</v>
      </c>
      <c r="M13">
        <v>7200</v>
      </c>
      <c r="N13">
        <v>1080</v>
      </c>
      <c r="P13" s="3" t="s">
        <v>98</v>
      </c>
    </row>
    <row r="14" spans="1:16">
      <c r="A14" s="2">
        <v>12</v>
      </c>
      <c r="B14" s="2" t="s">
        <v>99</v>
      </c>
      <c r="C14" t="s">
        <v>100</v>
      </c>
      <c r="D14" s="3" t="s">
        <v>101</v>
      </c>
      <c r="E14" t="s">
        <v>74</v>
      </c>
      <c r="F14">
        <v>12.32</v>
      </c>
      <c r="I14">
        <v>495.689557522124</v>
      </c>
      <c r="J14">
        <v>330</v>
      </c>
      <c r="K14">
        <v>100</v>
      </c>
      <c r="L14">
        <v>6106.89534867257</v>
      </c>
      <c r="M14">
        <v>4065.6</v>
      </c>
      <c r="N14">
        <v>1232</v>
      </c>
      <c r="P14" s="3" t="s">
        <v>79</v>
      </c>
    </row>
    <row r="15" spans="1:16">
      <c r="A15" s="2">
        <v>13</v>
      </c>
      <c r="B15" s="2" t="s">
        <v>102</v>
      </c>
      <c r="C15" t="s">
        <v>103</v>
      </c>
      <c r="E15" t="s">
        <v>74</v>
      </c>
      <c r="F15">
        <v>90</v>
      </c>
      <c r="I15">
        <v>298.196991150443</v>
      </c>
      <c r="J15">
        <v>210</v>
      </c>
      <c r="K15">
        <v>50</v>
      </c>
      <c r="L15">
        <v>26837.7292035399</v>
      </c>
      <c r="M15">
        <v>18900</v>
      </c>
      <c r="N15">
        <v>4500</v>
      </c>
      <c r="P15" s="3" t="s">
        <v>79</v>
      </c>
    </row>
    <row r="16" ht="67.5" spans="1:16">
      <c r="A16" s="2">
        <v>14</v>
      </c>
      <c r="B16" s="2" t="s">
        <v>104</v>
      </c>
      <c r="C16" t="s">
        <v>105</v>
      </c>
      <c r="D16" s="3" t="s">
        <v>1116</v>
      </c>
      <c r="E16" t="s">
        <v>74</v>
      </c>
      <c r="F16">
        <v>124.8</v>
      </c>
      <c r="I16">
        <v>71.6993685132744</v>
      </c>
      <c r="J16">
        <v>17.2</v>
      </c>
      <c r="K16">
        <v>20</v>
      </c>
      <c r="L16">
        <v>8948.08119045664</v>
      </c>
      <c r="M16">
        <v>2146.56</v>
      </c>
      <c r="N16">
        <v>2496</v>
      </c>
      <c r="P16" s="3" t="s">
        <v>107</v>
      </c>
    </row>
    <row r="17" ht="54" spans="1:16">
      <c r="A17" s="2">
        <v>15</v>
      </c>
      <c r="B17" s="2" t="s">
        <v>108</v>
      </c>
      <c r="C17" t="s">
        <v>109</v>
      </c>
      <c r="D17" s="3" t="s">
        <v>110</v>
      </c>
      <c r="E17" t="s">
        <v>74</v>
      </c>
      <c r="F17">
        <v>700</v>
      </c>
      <c r="I17">
        <v>121.521260212389</v>
      </c>
      <c r="J17">
        <v>32.25</v>
      </c>
      <c r="K17">
        <v>25</v>
      </c>
      <c r="L17">
        <v>85064.8821486723</v>
      </c>
      <c r="M17">
        <v>22575</v>
      </c>
      <c r="N17">
        <v>17500</v>
      </c>
      <c r="P17" s="3" t="s">
        <v>111</v>
      </c>
    </row>
    <row r="18" spans="1:16">
      <c r="A18" s="2">
        <v>16</v>
      </c>
      <c r="B18" s="2">
        <v>1.2</v>
      </c>
      <c r="C18" t="s">
        <v>112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ht="54" spans="1:16">
      <c r="A19" s="2">
        <v>17</v>
      </c>
      <c r="B19" s="2" t="s">
        <v>113</v>
      </c>
      <c r="C19" t="s">
        <v>114</v>
      </c>
      <c r="D19" s="3" t="s">
        <v>115</v>
      </c>
      <c r="E19" t="s">
        <v>59</v>
      </c>
      <c r="F19">
        <v>130</v>
      </c>
      <c r="I19">
        <v>784.60255180531</v>
      </c>
      <c r="J19">
        <v>260</v>
      </c>
      <c r="K19">
        <v>192.5</v>
      </c>
      <c r="L19">
        <v>101998.33173469</v>
      </c>
      <c r="M19">
        <v>33800</v>
      </c>
      <c r="N19">
        <v>25025</v>
      </c>
      <c r="P19" s="3" t="s">
        <v>60</v>
      </c>
    </row>
    <row r="20" ht="27" spans="1:16">
      <c r="A20" s="2">
        <v>18</v>
      </c>
      <c r="B20" s="2" t="s">
        <v>116</v>
      </c>
      <c r="C20" t="s">
        <v>117</v>
      </c>
      <c r="D20" s="3" t="s">
        <v>118</v>
      </c>
      <c r="E20" t="s">
        <v>59</v>
      </c>
      <c r="F20">
        <v>314</v>
      </c>
      <c r="I20">
        <v>1499.69029380531</v>
      </c>
      <c r="J20">
        <v>570.75</v>
      </c>
      <c r="K20">
        <v>415</v>
      </c>
      <c r="L20">
        <v>470902.752254867</v>
      </c>
      <c r="M20">
        <v>179215.5</v>
      </c>
      <c r="N20">
        <v>130310</v>
      </c>
      <c r="P20" s="3" t="s">
        <v>79</v>
      </c>
    </row>
    <row r="21" spans="1:16">
      <c r="A21" s="2">
        <v>19</v>
      </c>
      <c r="B21" s="2" t="s">
        <v>119</v>
      </c>
      <c r="C21" t="s">
        <v>120</v>
      </c>
      <c r="D21" s="3" t="s">
        <v>63</v>
      </c>
      <c r="E21" t="s">
        <v>64</v>
      </c>
      <c r="F21">
        <v>60</v>
      </c>
      <c r="I21">
        <v>5161</v>
      </c>
      <c r="J21">
        <v>3250</v>
      </c>
      <c r="K21">
        <v>850</v>
      </c>
      <c r="L21">
        <v>309660</v>
      </c>
      <c r="M21">
        <v>195000</v>
      </c>
      <c r="N21">
        <v>51000</v>
      </c>
      <c r="P21" s="3" t="s">
        <v>65</v>
      </c>
    </row>
    <row r="22" ht="27" spans="1:16">
      <c r="A22" s="2">
        <v>20</v>
      </c>
      <c r="B22" s="2" t="s">
        <v>121</v>
      </c>
      <c r="C22" t="s">
        <v>122</v>
      </c>
      <c r="D22" s="3" t="s">
        <v>63</v>
      </c>
      <c r="E22" t="s">
        <v>64</v>
      </c>
      <c r="F22">
        <v>408</v>
      </c>
      <c r="I22">
        <v>7251.57864778761</v>
      </c>
      <c r="J22">
        <v>3510</v>
      </c>
      <c r="K22">
        <v>2150</v>
      </c>
      <c r="L22">
        <v>2958644.08829734</v>
      </c>
      <c r="M22">
        <v>1432080</v>
      </c>
      <c r="N22">
        <v>877200</v>
      </c>
      <c r="P22" s="3" t="s">
        <v>123</v>
      </c>
    </row>
    <row r="23" spans="1:16">
      <c r="A23" s="2">
        <v>21</v>
      </c>
      <c r="B23" s="2" t="s">
        <v>124</v>
      </c>
      <c r="C23" t="s">
        <v>125</v>
      </c>
      <c r="D23" s="3" t="s">
        <v>63</v>
      </c>
      <c r="E23" t="s">
        <v>64</v>
      </c>
      <c r="F23">
        <v>15</v>
      </c>
      <c r="I23">
        <v>7691.58017699115</v>
      </c>
      <c r="J23">
        <v>3910</v>
      </c>
      <c r="K23">
        <v>2150</v>
      </c>
      <c r="L23">
        <v>115373.702654867</v>
      </c>
      <c r="M23">
        <v>58650</v>
      </c>
      <c r="N23">
        <v>32250</v>
      </c>
      <c r="P23" s="3" t="s">
        <v>79</v>
      </c>
    </row>
    <row r="24" ht="40.5" spans="1:16">
      <c r="A24" s="2">
        <v>22</v>
      </c>
      <c r="B24" s="2" t="s">
        <v>126</v>
      </c>
      <c r="C24" t="s">
        <v>127</v>
      </c>
      <c r="D24" s="3" t="s">
        <v>128</v>
      </c>
      <c r="E24" t="s">
        <v>129</v>
      </c>
      <c r="F24">
        <v>25</v>
      </c>
      <c r="I24">
        <v>4678.28</v>
      </c>
      <c r="J24">
        <v>2200</v>
      </c>
      <c r="K24">
        <v>1500</v>
      </c>
      <c r="L24">
        <v>116957</v>
      </c>
      <c r="M24">
        <v>55000</v>
      </c>
      <c r="N24">
        <v>37500</v>
      </c>
      <c r="P24" s="3" t="s">
        <v>130</v>
      </c>
    </row>
    <row r="25" ht="40.5" spans="1:16">
      <c r="A25" s="2">
        <v>23</v>
      </c>
      <c r="B25" s="2" t="s">
        <v>132</v>
      </c>
      <c r="C25" t="s">
        <v>133</v>
      </c>
      <c r="D25" s="3" t="s">
        <v>318</v>
      </c>
      <c r="E25" t="s">
        <v>59</v>
      </c>
      <c r="F25">
        <v>30</v>
      </c>
      <c r="I25">
        <v>2275.92</v>
      </c>
      <c r="J25">
        <v>1500</v>
      </c>
      <c r="K25">
        <v>300</v>
      </c>
      <c r="L25">
        <v>68277.6</v>
      </c>
      <c r="M25">
        <v>45000</v>
      </c>
      <c r="N25">
        <v>9000</v>
      </c>
      <c r="P25" s="3" t="s">
        <v>135</v>
      </c>
    </row>
    <row r="26" spans="1:16">
      <c r="A26" s="2">
        <v>24</v>
      </c>
      <c r="B26" s="2">
        <v>1.3</v>
      </c>
      <c r="C26" t="s">
        <v>1117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 ht="54" spans="1:16">
      <c r="A27" s="2">
        <v>25</v>
      </c>
      <c r="B27" s="2" t="s">
        <v>137</v>
      </c>
      <c r="C27" t="s">
        <v>138</v>
      </c>
      <c r="D27" s="3" t="s">
        <v>115</v>
      </c>
      <c r="E27" t="s">
        <v>59</v>
      </c>
      <c r="F27">
        <v>495</v>
      </c>
      <c r="I27">
        <v>901.55955180531</v>
      </c>
      <c r="J27">
        <v>260</v>
      </c>
      <c r="K27">
        <v>235</v>
      </c>
      <c r="L27">
        <v>446271.978143628</v>
      </c>
      <c r="M27">
        <v>128700</v>
      </c>
      <c r="N27">
        <v>116325</v>
      </c>
      <c r="P27" s="3" t="s">
        <v>60</v>
      </c>
    </row>
    <row r="28" spans="1:16">
      <c r="A28" s="2">
        <v>26</v>
      </c>
      <c r="B28" s="2" t="s">
        <v>139</v>
      </c>
      <c r="C28" t="s">
        <v>140</v>
      </c>
      <c r="D28" s="3" t="s">
        <v>63</v>
      </c>
      <c r="E28" t="s">
        <v>64</v>
      </c>
      <c r="F28">
        <v>59.4</v>
      </c>
      <c r="I28">
        <v>5161</v>
      </c>
      <c r="J28">
        <v>3250</v>
      </c>
      <c r="K28">
        <v>850</v>
      </c>
      <c r="L28">
        <v>306563.4</v>
      </c>
      <c r="M28">
        <v>193050</v>
      </c>
      <c r="N28">
        <v>50490</v>
      </c>
      <c r="P28" s="3" t="s">
        <v>65</v>
      </c>
    </row>
    <row r="29" ht="27" spans="1:16">
      <c r="A29" s="2">
        <v>27</v>
      </c>
      <c r="B29" s="2" t="s">
        <v>141</v>
      </c>
      <c r="C29" t="s">
        <v>142</v>
      </c>
      <c r="D29" s="3" t="s">
        <v>63</v>
      </c>
      <c r="E29" t="s">
        <v>64</v>
      </c>
      <c r="F29">
        <v>23.27</v>
      </c>
      <c r="I29">
        <v>8055.23504424779</v>
      </c>
      <c r="J29">
        <v>4600</v>
      </c>
      <c r="K29">
        <v>1300</v>
      </c>
      <c r="L29">
        <v>187445.319479646</v>
      </c>
      <c r="M29">
        <v>107042</v>
      </c>
      <c r="N29">
        <v>30251</v>
      </c>
      <c r="P29" s="3" t="s">
        <v>143</v>
      </c>
    </row>
    <row r="30" ht="27" spans="1:16">
      <c r="A30" s="2">
        <v>28</v>
      </c>
      <c r="B30" s="2" t="s">
        <v>144</v>
      </c>
      <c r="C30" t="s">
        <v>145</v>
      </c>
      <c r="D30" s="3" t="s">
        <v>63</v>
      </c>
      <c r="E30" t="s">
        <v>64</v>
      </c>
      <c r="F30">
        <v>2</v>
      </c>
      <c r="I30">
        <v>7551.57864778761</v>
      </c>
      <c r="J30">
        <v>3910</v>
      </c>
      <c r="K30">
        <v>2150</v>
      </c>
      <c r="L30">
        <v>15103.1572955752</v>
      </c>
      <c r="M30">
        <v>7820</v>
      </c>
      <c r="N30">
        <v>4300</v>
      </c>
      <c r="P30" s="3" t="s">
        <v>69</v>
      </c>
    </row>
    <row r="31" spans="1:16">
      <c r="A31" s="2">
        <v>29</v>
      </c>
      <c r="B31" s="2">
        <v>1.4</v>
      </c>
      <c r="C31" t="s">
        <v>146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 ht="27" spans="1:16">
      <c r="A32" s="2">
        <v>30</v>
      </c>
      <c r="B32" s="2" t="s">
        <v>147</v>
      </c>
      <c r="C32" t="s">
        <v>148</v>
      </c>
      <c r="D32" s="3" t="s">
        <v>63</v>
      </c>
      <c r="E32" t="s">
        <v>64</v>
      </c>
      <c r="F32">
        <v>14</v>
      </c>
      <c r="I32">
        <v>7551.57864778761</v>
      </c>
      <c r="J32">
        <v>3910</v>
      </c>
      <c r="K32">
        <v>2150</v>
      </c>
      <c r="L32">
        <v>105722.101069027</v>
      </c>
      <c r="M32">
        <v>54740</v>
      </c>
      <c r="N32">
        <v>30100</v>
      </c>
      <c r="P32" s="3" t="s">
        <v>69</v>
      </c>
    </row>
    <row r="33" ht="27" spans="1:16">
      <c r="A33" s="2">
        <v>31</v>
      </c>
      <c r="B33" s="2" t="s">
        <v>149</v>
      </c>
      <c r="C33" t="s">
        <v>72</v>
      </c>
      <c r="D33" s="3" t="s">
        <v>78</v>
      </c>
      <c r="E33" t="s">
        <v>74</v>
      </c>
      <c r="F33">
        <v>60</v>
      </c>
      <c r="I33">
        <v>127.021847787611</v>
      </c>
      <c r="J33">
        <v>72</v>
      </c>
      <c r="K33">
        <v>22</v>
      </c>
      <c r="L33">
        <v>7621.31086725666</v>
      </c>
      <c r="M33">
        <v>4320</v>
      </c>
      <c r="N33">
        <v>1320</v>
      </c>
      <c r="P33" s="3" t="s">
        <v>75</v>
      </c>
    </row>
    <row r="34" spans="1:16">
      <c r="A34" s="2">
        <v>32</v>
      </c>
      <c r="B34" s="2" t="s">
        <v>150</v>
      </c>
      <c r="C34" t="s">
        <v>151</v>
      </c>
      <c r="D34" s="3" t="s">
        <v>82</v>
      </c>
      <c r="E34" t="s">
        <v>74</v>
      </c>
      <c r="F34">
        <v>30</v>
      </c>
      <c r="I34">
        <v>115.608679646018</v>
      </c>
      <c r="J34">
        <v>63.5</v>
      </c>
      <c r="K34">
        <v>22</v>
      </c>
      <c r="L34">
        <v>3468.26038938054</v>
      </c>
      <c r="M34">
        <v>1905</v>
      </c>
      <c r="N34">
        <v>660</v>
      </c>
      <c r="P34" s="3" t="s">
        <v>79</v>
      </c>
    </row>
    <row r="35" spans="1:16">
      <c r="A35" s="2">
        <v>33</v>
      </c>
      <c r="B35" s="2" t="s">
        <v>152</v>
      </c>
      <c r="C35" t="s">
        <v>153</v>
      </c>
      <c r="D35" s="3" t="s">
        <v>154</v>
      </c>
      <c r="E35" t="s">
        <v>74</v>
      </c>
      <c r="F35">
        <v>120</v>
      </c>
      <c r="I35">
        <v>584.197557522124</v>
      </c>
      <c r="J35">
        <v>330</v>
      </c>
      <c r="K35">
        <v>120</v>
      </c>
      <c r="L35">
        <v>70103.7069026549</v>
      </c>
      <c r="M35">
        <v>39600</v>
      </c>
      <c r="N35">
        <v>14400</v>
      </c>
      <c r="P35" s="3" t="s">
        <v>155</v>
      </c>
    </row>
    <row r="36" spans="1:16">
      <c r="A36" s="2">
        <v>34</v>
      </c>
      <c r="B36" s="2">
        <v>1.5</v>
      </c>
      <c r="C36" t="s">
        <v>1118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 ht="135" spans="1:16">
      <c r="A37" s="2">
        <v>35</v>
      </c>
      <c r="B37" s="2" t="s">
        <v>157</v>
      </c>
      <c r="C37" t="s">
        <v>158</v>
      </c>
      <c r="D37" s="3" t="s">
        <v>159</v>
      </c>
      <c r="E37" t="s">
        <v>74</v>
      </c>
      <c r="F37">
        <v>47.25</v>
      </c>
      <c r="I37">
        <v>2640.02244247788</v>
      </c>
      <c r="J37">
        <v>800</v>
      </c>
      <c r="K37">
        <v>680</v>
      </c>
      <c r="L37">
        <v>124741.06040708</v>
      </c>
      <c r="M37">
        <v>37800</v>
      </c>
      <c r="N37">
        <v>32130</v>
      </c>
      <c r="P37" s="3" t="s">
        <v>160</v>
      </c>
    </row>
    <row r="38" spans="1:16">
      <c r="A38" s="2">
        <v>36</v>
      </c>
      <c r="B38" s="2" t="s">
        <v>161</v>
      </c>
      <c r="C38" t="s">
        <v>162</v>
      </c>
      <c r="D38" s="3" t="s">
        <v>159</v>
      </c>
      <c r="E38" t="s">
        <v>74</v>
      </c>
      <c r="F38">
        <v>63</v>
      </c>
      <c r="I38">
        <v>2892.90244247788</v>
      </c>
      <c r="J38">
        <v>800</v>
      </c>
      <c r="K38">
        <v>680</v>
      </c>
      <c r="L38">
        <v>182252.853876106</v>
      </c>
      <c r="M38">
        <v>50400</v>
      </c>
      <c r="N38">
        <v>42840</v>
      </c>
      <c r="P38" s="3" t="s">
        <v>79</v>
      </c>
    </row>
    <row r="39" spans="1:16">
      <c r="A39" s="2">
        <v>37</v>
      </c>
      <c r="B39" s="2" t="s">
        <v>163</v>
      </c>
      <c r="C39" t="s">
        <v>164</v>
      </c>
      <c r="D39" s="3" t="s">
        <v>159</v>
      </c>
      <c r="E39" t="s">
        <v>74</v>
      </c>
      <c r="F39">
        <v>126</v>
      </c>
      <c r="I39">
        <v>3019.34244247788</v>
      </c>
      <c r="J39">
        <v>800</v>
      </c>
      <c r="K39">
        <v>680</v>
      </c>
      <c r="L39">
        <v>380437.147752213</v>
      </c>
      <c r="M39">
        <v>100800</v>
      </c>
      <c r="N39">
        <v>85680</v>
      </c>
      <c r="P39" s="3" t="s">
        <v>79</v>
      </c>
    </row>
    <row r="40" spans="1:16">
      <c r="A40" s="2">
        <v>38</v>
      </c>
      <c r="B40" s="2" t="s">
        <v>165</v>
      </c>
      <c r="C40" t="s">
        <v>166</v>
      </c>
      <c r="D40" s="3" t="s">
        <v>159</v>
      </c>
      <c r="E40" t="s">
        <v>74</v>
      </c>
      <c r="F40">
        <v>28.35</v>
      </c>
      <c r="I40">
        <v>2387.14244247788</v>
      </c>
      <c r="J40">
        <v>800</v>
      </c>
      <c r="K40">
        <v>580</v>
      </c>
      <c r="L40">
        <v>67675.4882442479</v>
      </c>
      <c r="M40">
        <v>22680</v>
      </c>
      <c r="N40">
        <v>16443</v>
      </c>
      <c r="P40" s="3" t="s">
        <v>79</v>
      </c>
    </row>
    <row r="41" spans="1:16">
      <c r="A41" s="2">
        <v>39</v>
      </c>
      <c r="B41" s="2">
        <v>1.6</v>
      </c>
      <c r="C41" t="s">
        <v>1119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 ht="54" spans="1:16">
      <c r="A42" s="2">
        <v>40</v>
      </c>
      <c r="B42" s="2" t="s">
        <v>168</v>
      </c>
      <c r="C42" t="s">
        <v>169</v>
      </c>
      <c r="D42" s="3" t="s">
        <v>170</v>
      </c>
      <c r="E42" t="s">
        <v>74</v>
      </c>
      <c r="F42">
        <v>270</v>
      </c>
      <c r="I42">
        <v>56.898</v>
      </c>
      <c r="J42">
        <v>15</v>
      </c>
      <c r="K42">
        <v>30</v>
      </c>
      <c r="L42">
        <v>15362.46</v>
      </c>
      <c r="M42">
        <v>4050</v>
      </c>
      <c r="N42">
        <v>8100</v>
      </c>
      <c r="P42" s="3" t="s">
        <v>171</v>
      </c>
    </row>
    <row r="43" ht="40.5" spans="1:16">
      <c r="A43" s="2">
        <v>41</v>
      </c>
      <c r="B43" s="2" t="s">
        <v>172</v>
      </c>
      <c r="C43" t="s">
        <v>173</v>
      </c>
      <c r="D43" s="3" t="s">
        <v>174</v>
      </c>
      <c r="E43" t="s">
        <v>74</v>
      </c>
      <c r="F43">
        <v>216</v>
      </c>
      <c r="I43">
        <v>25.288</v>
      </c>
      <c r="J43">
        <v>10</v>
      </c>
      <c r="K43">
        <v>10</v>
      </c>
      <c r="L43">
        <v>5462.208</v>
      </c>
      <c r="M43">
        <v>2160</v>
      </c>
      <c r="N43">
        <v>2160</v>
      </c>
      <c r="P43" s="3" t="s">
        <v>79</v>
      </c>
    </row>
    <row r="44" spans="1:16">
      <c r="A44" s="2">
        <v>42</v>
      </c>
      <c r="B44" s="2" t="s">
        <v>175</v>
      </c>
      <c r="C44" t="s">
        <v>176</v>
      </c>
      <c r="E44" t="s">
        <v>74</v>
      </c>
      <c r="F44">
        <v>30</v>
      </c>
      <c r="I44">
        <v>261.719610619469</v>
      </c>
      <c r="J44">
        <v>200</v>
      </c>
      <c r="K44">
        <v>30</v>
      </c>
      <c r="L44">
        <v>7851.58831858407</v>
      </c>
      <c r="M44">
        <v>6000</v>
      </c>
      <c r="N44">
        <v>900</v>
      </c>
      <c r="P44" s="3" t="s">
        <v>98</v>
      </c>
    </row>
    <row r="45" spans="1:16">
      <c r="A45" s="2">
        <v>43</v>
      </c>
      <c r="B45" s="2">
        <v>1.7</v>
      </c>
      <c r="C45" t="s">
        <v>1120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 ht="54" spans="1:16">
      <c r="A46" s="2">
        <v>44</v>
      </c>
      <c r="B46" s="2" t="s">
        <v>178</v>
      </c>
      <c r="C46" t="s">
        <v>179</v>
      </c>
      <c r="D46" s="3" t="s">
        <v>115</v>
      </c>
      <c r="E46" t="s">
        <v>59</v>
      </c>
      <c r="F46">
        <v>230</v>
      </c>
      <c r="I46">
        <v>1030.25472571835</v>
      </c>
      <c r="J46">
        <v>260</v>
      </c>
      <c r="K46">
        <v>192.5</v>
      </c>
      <c r="L46">
        <v>236958.586915221</v>
      </c>
      <c r="M46">
        <v>59800</v>
      </c>
      <c r="N46">
        <v>44275</v>
      </c>
      <c r="P46" s="3" t="s">
        <v>180</v>
      </c>
    </row>
    <row r="47" ht="54" spans="1:16">
      <c r="A47" s="2">
        <v>45</v>
      </c>
      <c r="B47" s="2" t="s">
        <v>181</v>
      </c>
      <c r="C47" t="s">
        <v>182</v>
      </c>
      <c r="D47" s="3" t="s">
        <v>115</v>
      </c>
      <c r="E47" t="s">
        <v>59</v>
      </c>
      <c r="F47">
        <v>90</v>
      </c>
      <c r="I47">
        <v>804.60255180531</v>
      </c>
      <c r="J47">
        <v>260</v>
      </c>
      <c r="K47">
        <v>192.5</v>
      </c>
      <c r="L47">
        <v>72414.2296624779</v>
      </c>
      <c r="M47">
        <v>23400</v>
      </c>
      <c r="N47">
        <v>17325</v>
      </c>
      <c r="P47" s="3" t="s">
        <v>60</v>
      </c>
    </row>
    <row r="48" spans="1:16">
      <c r="A48" s="2">
        <v>46</v>
      </c>
      <c r="B48" s="2" t="s">
        <v>183</v>
      </c>
      <c r="C48" t="s">
        <v>184</v>
      </c>
      <c r="D48" s="3" t="s">
        <v>115</v>
      </c>
      <c r="E48" t="s">
        <v>59</v>
      </c>
      <c r="F48">
        <v>140</v>
      </c>
      <c r="I48">
        <v>784.60255180531</v>
      </c>
      <c r="J48">
        <v>260</v>
      </c>
      <c r="K48">
        <v>192.5</v>
      </c>
      <c r="L48">
        <v>109844.357252743</v>
      </c>
      <c r="M48">
        <v>36400</v>
      </c>
      <c r="N48">
        <v>26950</v>
      </c>
      <c r="P48" s="3" t="s">
        <v>79</v>
      </c>
    </row>
    <row r="49" spans="1:16">
      <c r="A49" s="2">
        <v>47</v>
      </c>
      <c r="B49" s="2" t="s">
        <v>185</v>
      </c>
      <c r="C49" t="s">
        <v>186</v>
      </c>
      <c r="D49" s="3" t="s">
        <v>115</v>
      </c>
      <c r="E49" t="s">
        <v>59</v>
      </c>
      <c r="F49">
        <v>50</v>
      </c>
      <c r="I49">
        <v>901.55955180531</v>
      </c>
      <c r="J49">
        <v>260</v>
      </c>
      <c r="K49">
        <v>235</v>
      </c>
      <c r="L49">
        <v>45077.9775902655</v>
      </c>
      <c r="M49">
        <v>13000</v>
      </c>
      <c r="N49">
        <v>11750</v>
      </c>
      <c r="P49" s="3" t="s">
        <v>79</v>
      </c>
    </row>
    <row r="50" spans="1:16">
      <c r="A50" s="2">
        <v>48</v>
      </c>
      <c r="B50" s="2" t="s">
        <v>187</v>
      </c>
      <c r="C50" t="s">
        <v>188</v>
      </c>
      <c r="D50" s="3" t="s">
        <v>115</v>
      </c>
      <c r="E50" t="s">
        <v>59</v>
      </c>
      <c r="F50">
        <v>25</v>
      </c>
      <c r="I50">
        <v>980.97019380531</v>
      </c>
      <c r="J50">
        <v>260</v>
      </c>
      <c r="K50">
        <v>335</v>
      </c>
      <c r="L50">
        <v>24524.2548451327</v>
      </c>
      <c r="M50">
        <v>6500</v>
      </c>
      <c r="N50">
        <v>8375</v>
      </c>
      <c r="P50" s="3" t="s">
        <v>79</v>
      </c>
    </row>
    <row r="51" spans="1:16">
      <c r="A51" s="2">
        <v>49</v>
      </c>
      <c r="B51" s="2" t="s">
        <v>189</v>
      </c>
      <c r="C51" t="s">
        <v>190</v>
      </c>
      <c r="D51" s="3" t="s">
        <v>115</v>
      </c>
      <c r="E51" t="s">
        <v>59</v>
      </c>
      <c r="F51">
        <v>300</v>
      </c>
      <c r="I51">
        <v>901.55955180531</v>
      </c>
      <c r="J51">
        <v>260</v>
      </c>
      <c r="K51">
        <v>235</v>
      </c>
      <c r="L51">
        <v>270467.865541593</v>
      </c>
      <c r="M51">
        <v>78000</v>
      </c>
      <c r="N51">
        <v>70500</v>
      </c>
      <c r="P51" s="3" t="s">
        <v>79</v>
      </c>
    </row>
    <row r="52" spans="1:16">
      <c r="A52" s="2">
        <v>50</v>
      </c>
      <c r="B52" s="2" t="s">
        <v>191</v>
      </c>
      <c r="C52" t="s">
        <v>192</v>
      </c>
      <c r="D52" s="3" t="s">
        <v>193</v>
      </c>
      <c r="E52" t="s">
        <v>59</v>
      </c>
      <c r="F52">
        <v>45</v>
      </c>
      <c r="I52">
        <v>947.834353929204</v>
      </c>
      <c r="J52">
        <v>300</v>
      </c>
      <c r="K52">
        <v>235</v>
      </c>
      <c r="L52">
        <v>42652.5459268142</v>
      </c>
      <c r="M52">
        <v>13500</v>
      </c>
      <c r="N52">
        <v>10575</v>
      </c>
      <c r="P52" s="3" t="s">
        <v>79</v>
      </c>
    </row>
    <row r="53" spans="1:16">
      <c r="A53" s="2">
        <v>51</v>
      </c>
      <c r="B53" s="2" t="s">
        <v>194</v>
      </c>
      <c r="C53" t="s">
        <v>120</v>
      </c>
      <c r="D53" s="3" t="s">
        <v>63</v>
      </c>
      <c r="E53" t="s">
        <v>64</v>
      </c>
      <c r="F53">
        <v>85</v>
      </c>
      <c r="I53">
        <v>5161</v>
      </c>
      <c r="J53">
        <v>3250</v>
      </c>
      <c r="K53">
        <v>850</v>
      </c>
      <c r="L53">
        <v>438685</v>
      </c>
      <c r="M53">
        <v>276250</v>
      </c>
      <c r="N53">
        <v>72250</v>
      </c>
      <c r="P53" s="3" t="s">
        <v>65</v>
      </c>
    </row>
    <row r="54" ht="27" spans="1:16">
      <c r="A54" s="2">
        <v>52</v>
      </c>
      <c r="B54" s="2" t="s">
        <v>195</v>
      </c>
      <c r="C54" t="s">
        <v>196</v>
      </c>
      <c r="D54" s="3" t="s">
        <v>63</v>
      </c>
      <c r="E54" t="s">
        <v>64</v>
      </c>
      <c r="F54">
        <v>50</v>
      </c>
      <c r="I54">
        <v>7251.57864778761</v>
      </c>
      <c r="J54">
        <v>3510</v>
      </c>
      <c r="K54">
        <v>2150</v>
      </c>
      <c r="L54">
        <v>362578.932389381</v>
      </c>
      <c r="M54">
        <v>175500</v>
      </c>
      <c r="N54">
        <v>107500</v>
      </c>
      <c r="P54" s="3" t="s">
        <v>69</v>
      </c>
    </row>
    <row r="55" spans="1:16">
      <c r="A55" s="2">
        <v>53</v>
      </c>
      <c r="B55" s="2" t="s">
        <v>197</v>
      </c>
      <c r="C55" t="s">
        <v>198</v>
      </c>
      <c r="D55" s="3" t="s">
        <v>63</v>
      </c>
      <c r="E55" t="s">
        <v>64</v>
      </c>
      <c r="F55">
        <v>64</v>
      </c>
      <c r="I55">
        <v>7694.0194619469</v>
      </c>
      <c r="J55">
        <v>3911</v>
      </c>
      <c r="K55">
        <v>2151</v>
      </c>
      <c r="L55">
        <v>492417.245564602</v>
      </c>
      <c r="M55">
        <v>250304</v>
      </c>
      <c r="N55">
        <v>137664</v>
      </c>
      <c r="P55" s="3" t="s">
        <v>79</v>
      </c>
    </row>
    <row r="56" ht="27" spans="1:16">
      <c r="A56" s="2">
        <v>54</v>
      </c>
      <c r="B56" s="2" t="s">
        <v>199</v>
      </c>
      <c r="C56" t="s">
        <v>92</v>
      </c>
      <c r="E56" t="s">
        <v>59</v>
      </c>
      <c r="F56">
        <v>29.36</v>
      </c>
      <c r="I56">
        <v>1208.7664</v>
      </c>
      <c r="J56">
        <v>436</v>
      </c>
      <c r="K56">
        <v>520</v>
      </c>
      <c r="L56">
        <v>35489.381504</v>
      </c>
      <c r="M56">
        <v>12800.96</v>
      </c>
      <c r="N56">
        <v>15267.2</v>
      </c>
      <c r="P56" s="3" t="s">
        <v>94</v>
      </c>
    </row>
    <row r="57" ht="54" spans="1:16">
      <c r="A57" s="2">
        <v>55</v>
      </c>
      <c r="B57" s="2" t="s">
        <v>200</v>
      </c>
      <c r="C57" t="s">
        <v>201</v>
      </c>
      <c r="D57" s="3" t="s">
        <v>115</v>
      </c>
      <c r="E57" t="s">
        <v>59</v>
      </c>
      <c r="F57">
        <v>15</v>
      </c>
      <c r="I57">
        <v>784.60255180531</v>
      </c>
      <c r="J57">
        <v>260</v>
      </c>
      <c r="K57">
        <v>192.5</v>
      </c>
      <c r="L57">
        <v>11769.0382770796</v>
      </c>
      <c r="M57">
        <v>3900</v>
      </c>
      <c r="N57">
        <v>2887.5</v>
      </c>
      <c r="P57" s="3" t="s">
        <v>60</v>
      </c>
    </row>
    <row r="58" spans="1:16">
      <c r="A58" s="2">
        <v>56</v>
      </c>
      <c r="B58" s="2" t="s">
        <v>202</v>
      </c>
      <c r="C58" t="s">
        <v>203</v>
      </c>
      <c r="D58" s="3" t="s">
        <v>63</v>
      </c>
      <c r="E58" t="s">
        <v>64</v>
      </c>
      <c r="F58">
        <v>1.12</v>
      </c>
      <c r="I58">
        <v>5161</v>
      </c>
      <c r="J58">
        <v>3250</v>
      </c>
      <c r="K58">
        <v>850</v>
      </c>
      <c r="L58">
        <v>5780.32</v>
      </c>
      <c r="M58">
        <v>3640</v>
      </c>
      <c r="N58">
        <v>952</v>
      </c>
      <c r="P58" s="3" t="s">
        <v>65</v>
      </c>
    </row>
    <row r="59" ht="27" spans="1:16">
      <c r="A59" s="2">
        <v>57</v>
      </c>
      <c r="B59" s="2" t="s">
        <v>204</v>
      </c>
      <c r="C59" t="s">
        <v>205</v>
      </c>
      <c r="E59" t="s">
        <v>74</v>
      </c>
      <c r="F59">
        <v>4</v>
      </c>
      <c r="I59">
        <v>290.103936</v>
      </c>
      <c r="J59">
        <v>105</v>
      </c>
      <c r="K59">
        <v>124.8</v>
      </c>
      <c r="L59">
        <v>1160.415744</v>
      </c>
      <c r="M59">
        <v>420</v>
      </c>
      <c r="N59">
        <v>499.2</v>
      </c>
      <c r="P59" s="3" t="s">
        <v>94</v>
      </c>
    </row>
    <row r="60" spans="1:16">
      <c r="A60" s="2">
        <v>58</v>
      </c>
      <c r="B60" s="2" t="s">
        <v>206</v>
      </c>
      <c r="C60" t="s">
        <v>207</v>
      </c>
      <c r="E60" t="s">
        <v>74</v>
      </c>
      <c r="F60">
        <v>4</v>
      </c>
      <c r="I60">
        <v>196.055849911504</v>
      </c>
      <c r="J60">
        <v>126.4</v>
      </c>
      <c r="K60">
        <v>38.4</v>
      </c>
      <c r="L60">
        <v>784.223399646016</v>
      </c>
      <c r="M60">
        <v>505.6</v>
      </c>
      <c r="N60">
        <v>153.6</v>
      </c>
      <c r="P60" s="3" t="s">
        <v>208</v>
      </c>
    </row>
    <row r="61" spans="1:16">
      <c r="A61" s="2">
        <v>59</v>
      </c>
      <c r="B61" s="2" t="s">
        <v>209</v>
      </c>
      <c r="C61" t="s">
        <v>210</v>
      </c>
      <c r="E61" t="s">
        <v>74</v>
      </c>
      <c r="F61">
        <v>6</v>
      </c>
      <c r="I61">
        <v>113.796</v>
      </c>
      <c r="J61">
        <v>70</v>
      </c>
      <c r="K61">
        <v>20</v>
      </c>
      <c r="L61">
        <v>682.776</v>
      </c>
      <c r="M61">
        <v>420</v>
      </c>
      <c r="N61">
        <v>120</v>
      </c>
      <c r="P61" s="3" t="s">
        <v>98</v>
      </c>
    </row>
    <row r="62" ht="54" spans="1:16">
      <c r="A62" s="2">
        <v>60</v>
      </c>
      <c r="B62" s="2" t="s">
        <v>211</v>
      </c>
      <c r="C62" t="s">
        <v>212</v>
      </c>
      <c r="D62" s="3" t="s">
        <v>213</v>
      </c>
      <c r="E62" t="s">
        <v>74</v>
      </c>
      <c r="F62">
        <v>1500</v>
      </c>
      <c r="I62">
        <v>121.521260212389</v>
      </c>
      <c r="J62">
        <v>32.25</v>
      </c>
      <c r="K62">
        <v>25</v>
      </c>
      <c r="L62">
        <v>182281.890318583</v>
      </c>
      <c r="M62">
        <v>48375</v>
      </c>
      <c r="N62">
        <v>37500</v>
      </c>
      <c r="P62" s="3" t="s">
        <v>60</v>
      </c>
    </row>
    <row r="63" spans="1:16">
      <c r="A63" s="2">
        <v>61</v>
      </c>
      <c r="B63" s="2">
        <v>1.8</v>
      </c>
      <c r="C63" t="s">
        <v>1121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</row>
    <row r="64" ht="40.5" spans="1:16">
      <c r="A64" s="2">
        <v>62</v>
      </c>
      <c r="B64" s="2" t="s">
        <v>215</v>
      </c>
      <c r="C64" t="s">
        <v>216</v>
      </c>
      <c r="D64" s="3" t="s">
        <v>217</v>
      </c>
      <c r="E64" t="s">
        <v>59</v>
      </c>
      <c r="F64">
        <v>731</v>
      </c>
      <c r="I64">
        <v>823.89926460177</v>
      </c>
      <c r="J64">
        <v>275</v>
      </c>
      <c r="K64">
        <v>100</v>
      </c>
      <c r="L64">
        <v>602270.362423894</v>
      </c>
      <c r="M64">
        <v>201025</v>
      </c>
      <c r="N64">
        <v>73100</v>
      </c>
      <c r="P64" s="3" t="s">
        <v>218</v>
      </c>
    </row>
    <row r="65" spans="1:16">
      <c r="A65" s="2">
        <v>63</v>
      </c>
      <c r="B65" s="2" t="s">
        <v>219</v>
      </c>
      <c r="C65" t="s">
        <v>220</v>
      </c>
      <c r="D65" s="3" t="s">
        <v>63</v>
      </c>
      <c r="E65" t="s">
        <v>64</v>
      </c>
      <c r="F65">
        <v>51.2</v>
      </c>
      <c r="I65">
        <v>5161</v>
      </c>
      <c r="J65">
        <v>3250</v>
      </c>
      <c r="K65">
        <v>850</v>
      </c>
      <c r="L65">
        <v>264243.2</v>
      </c>
      <c r="M65">
        <v>166400</v>
      </c>
      <c r="N65">
        <v>43520</v>
      </c>
      <c r="P65" s="3" t="s">
        <v>65</v>
      </c>
    </row>
    <row r="66" ht="27" spans="1:16">
      <c r="A66" s="2">
        <v>64</v>
      </c>
      <c r="B66" s="2" t="s">
        <v>221</v>
      </c>
      <c r="C66" t="s">
        <v>222</v>
      </c>
      <c r="D66" s="3" t="s">
        <v>223</v>
      </c>
      <c r="E66" t="s">
        <v>59</v>
      </c>
      <c r="F66">
        <v>210</v>
      </c>
      <c r="I66">
        <v>193.89574</v>
      </c>
      <c r="J66">
        <v>103</v>
      </c>
      <c r="K66">
        <v>10</v>
      </c>
      <c r="L66">
        <v>40718.1054</v>
      </c>
      <c r="M66">
        <v>21630</v>
      </c>
      <c r="N66">
        <v>2100</v>
      </c>
      <c r="P66" s="3" t="s">
        <v>224</v>
      </c>
    </row>
    <row r="67" spans="1:16">
      <c r="A67" s="2">
        <v>65</v>
      </c>
      <c r="B67" s="2">
        <v>2</v>
      </c>
      <c r="C67" t="s">
        <v>1122</v>
      </c>
      <c r="I67">
        <v>0</v>
      </c>
      <c r="J67">
        <v>0</v>
      </c>
      <c r="K67">
        <v>0</v>
      </c>
      <c r="L67">
        <v>389815.566300885</v>
      </c>
      <c r="M67">
        <v>88500</v>
      </c>
      <c r="N67">
        <v>206460</v>
      </c>
    </row>
    <row r="68" spans="1:16">
      <c r="A68" s="2">
        <v>66</v>
      </c>
      <c r="B68" s="2" t="s">
        <v>226</v>
      </c>
      <c r="C68" t="s">
        <v>1123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ht="54" spans="1:16">
      <c r="A69" s="2">
        <v>67</v>
      </c>
      <c r="B69" s="2" t="s">
        <v>228</v>
      </c>
      <c r="C69" t="s">
        <v>229</v>
      </c>
      <c r="E69" t="s">
        <v>230</v>
      </c>
      <c r="F69">
        <v>10</v>
      </c>
      <c r="G69">
        <v>4</v>
      </c>
      <c r="H69">
        <v>40</v>
      </c>
      <c r="I69">
        <v>1133.32</v>
      </c>
      <c r="J69">
        <v>0</v>
      </c>
      <c r="K69">
        <v>800</v>
      </c>
      <c r="L69">
        <v>11333.2</v>
      </c>
      <c r="M69">
        <v>0</v>
      </c>
      <c r="N69">
        <v>8000</v>
      </c>
      <c r="P69" s="3" t="s">
        <v>231</v>
      </c>
    </row>
    <row r="70" spans="1:16">
      <c r="A70" s="2">
        <v>68</v>
      </c>
      <c r="B70" s="2" t="s">
        <v>232</v>
      </c>
      <c r="C70" t="s">
        <v>233</v>
      </c>
      <c r="E70" t="s">
        <v>234</v>
      </c>
      <c r="F70">
        <v>2</v>
      </c>
      <c r="G70">
        <v>16</v>
      </c>
      <c r="H70">
        <v>32</v>
      </c>
      <c r="I70">
        <v>1133.32</v>
      </c>
      <c r="J70">
        <v>0</v>
      </c>
      <c r="K70">
        <v>800</v>
      </c>
      <c r="L70">
        <v>2266.64</v>
      </c>
      <c r="M70">
        <v>0</v>
      </c>
      <c r="N70">
        <v>1600</v>
      </c>
      <c r="P70" s="3" t="s">
        <v>79</v>
      </c>
    </row>
    <row r="71" spans="1:16">
      <c r="A71" s="2">
        <v>69</v>
      </c>
      <c r="B71" s="2" t="s">
        <v>235</v>
      </c>
      <c r="C71" t="s">
        <v>236</v>
      </c>
      <c r="E71" t="s">
        <v>234</v>
      </c>
      <c r="F71">
        <v>2</v>
      </c>
      <c r="G71">
        <v>10.5</v>
      </c>
      <c r="H71">
        <v>21</v>
      </c>
      <c r="I71">
        <v>1133.32</v>
      </c>
      <c r="J71">
        <v>0</v>
      </c>
      <c r="K71">
        <v>800</v>
      </c>
      <c r="L71">
        <v>2266.64</v>
      </c>
      <c r="M71">
        <v>0</v>
      </c>
      <c r="N71">
        <v>1600</v>
      </c>
      <c r="P71" s="3" t="s">
        <v>79</v>
      </c>
    </row>
    <row r="72" spans="1:16">
      <c r="A72" s="2">
        <v>70</v>
      </c>
      <c r="B72" s="2" t="s">
        <v>237</v>
      </c>
      <c r="C72" t="s">
        <v>238</v>
      </c>
      <c r="E72" t="s">
        <v>234</v>
      </c>
      <c r="F72">
        <v>2</v>
      </c>
      <c r="G72">
        <v>15.5</v>
      </c>
      <c r="H72">
        <v>31</v>
      </c>
      <c r="I72">
        <v>1133.32</v>
      </c>
      <c r="J72">
        <v>0</v>
      </c>
      <c r="K72">
        <v>800</v>
      </c>
      <c r="L72">
        <v>2266.64</v>
      </c>
      <c r="M72">
        <v>0</v>
      </c>
      <c r="N72">
        <v>1600</v>
      </c>
      <c r="P72" s="3" t="s">
        <v>79</v>
      </c>
    </row>
    <row r="73" spans="1:16">
      <c r="A73" s="2">
        <v>71</v>
      </c>
      <c r="B73" s="2" t="s">
        <v>239</v>
      </c>
      <c r="C73" t="s">
        <v>240</v>
      </c>
      <c r="E73" t="s">
        <v>234</v>
      </c>
      <c r="F73">
        <v>2</v>
      </c>
      <c r="G73">
        <v>1.5</v>
      </c>
      <c r="H73">
        <v>3</v>
      </c>
      <c r="I73">
        <v>1133.32</v>
      </c>
      <c r="J73">
        <v>0</v>
      </c>
      <c r="K73">
        <v>800</v>
      </c>
      <c r="L73">
        <v>2266.64</v>
      </c>
      <c r="M73">
        <v>0</v>
      </c>
      <c r="N73">
        <v>1600</v>
      </c>
      <c r="P73" s="3" t="s">
        <v>79</v>
      </c>
    </row>
    <row r="74" spans="1:16">
      <c r="A74" s="2">
        <v>72</v>
      </c>
      <c r="B74" s="2" t="s">
        <v>241</v>
      </c>
      <c r="C74" t="s">
        <v>242</v>
      </c>
      <c r="E74" t="s">
        <v>234</v>
      </c>
      <c r="F74">
        <v>2</v>
      </c>
      <c r="G74">
        <v>2</v>
      </c>
      <c r="H74">
        <v>4</v>
      </c>
      <c r="I74">
        <v>1133.32</v>
      </c>
      <c r="J74">
        <v>0</v>
      </c>
      <c r="K74">
        <v>800</v>
      </c>
      <c r="L74">
        <v>2266.64</v>
      </c>
      <c r="M74">
        <v>0</v>
      </c>
      <c r="N74">
        <v>1600</v>
      </c>
      <c r="P74" s="3" t="s">
        <v>79</v>
      </c>
    </row>
    <row r="75" spans="1:16">
      <c r="A75" s="2">
        <v>73</v>
      </c>
      <c r="B75" s="2" t="s">
        <v>243</v>
      </c>
      <c r="C75" t="s">
        <v>244</v>
      </c>
      <c r="E75" t="s">
        <v>234</v>
      </c>
      <c r="F75">
        <v>2</v>
      </c>
      <c r="G75">
        <v>0.5</v>
      </c>
      <c r="H75">
        <v>1</v>
      </c>
      <c r="I75">
        <v>1133.32</v>
      </c>
      <c r="J75">
        <v>0</v>
      </c>
      <c r="K75">
        <v>800</v>
      </c>
      <c r="L75">
        <v>2266.64</v>
      </c>
      <c r="M75">
        <v>0</v>
      </c>
      <c r="N75">
        <v>1600</v>
      </c>
      <c r="P75" s="3" t="s">
        <v>79</v>
      </c>
    </row>
    <row r="76" spans="1:16">
      <c r="A76" s="2">
        <v>74</v>
      </c>
      <c r="B76" s="2" t="s">
        <v>245</v>
      </c>
      <c r="C76" t="s">
        <v>246</v>
      </c>
      <c r="E76" t="s">
        <v>234</v>
      </c>
      <c r="F76">
        <v>2</v>
      </c>
      <c r="G76">
        <v>2.5</v>
      </c>
      <c r="H76">
        <v>5</v>
      </c>
      <c r="I76">
        <v>1133.32</v>
      </c>
      <c r="J76">
        <v>0</v>
      </c>
      <c r="K76">
        <v>800</v>
      </c>
      <c r="L76">
        <v>2266.64</v>
      </c>
      <c r="M76">
        <v>0</v>
      </c>
      <c r="N76">
        <v>1600</v>
      </c>
      <c r="P76" s="3" t="s">
        <v>79</v>
      </c>
    </row>
    <row r="77" spans="1:16">
      <c r="A77" s="2">
        <v>75</v>
      </c>
      <c r="B77" s="2" t="s">
        <v>247</v>
      </c>
      <c r="C77" t="s">
        <v>248</v>
      </c>
      <c r="E77" t="s">
        <v>234</v>
      </c>
      <c r="F77">
        <v>2</v>
      </c>
      <c r="G77">
        <v>2</v>
      </c>
      <c r="H77">
        <v>4</v>
      </c>
      <c r="I77">
        <v>1133.32</v>
      </c>
      <c r="J77">
        <v>0</v>
      </c>
      <c r="K77">
        <v>800</v>
      </c>
      <c r="L77">
        <v>2266.64</v>
      </c>
      <c r="M77">
        <v>0</v>
      </c>
      <c r="N77">
        <v>1600</v>
      </c>
      <c r="P77" s="3" t="s">
        <v>79</v>
      </c>
    </row>
    <row r="78" spans="1:16">
      <c r="A78" s="2">
        <v>76</v>
      </c>
      <c r="B78" s="2" t="s">
        <v>249</v>
      </c>
      <c r="C78" t="s">
        <v>250</v>
      </c>
      <c r="E78" t="s">
        <v>234</v>
      </c>
      <c r="F78">
        <v>2</v>
      </c>
      <c r="G78">
        <v>2.5</v>
      </c>
      <c r="H78">
        <v>5</v>
      </c>
      <c r="I78">
        <v>1133.32</v>
      </c>
      <c r="J78">
        <v>0</v>
      </c>
      <c r="K78">
        <v>800</v>
      </c>
      <c r="L78">
        <v>2266.64</v>
      </c>
      <c r="M78">
        <v>0</v>
      </c>
      <c r="N78">
        <v>1600</v>
      </c>
      <c r="P78" s="3" t="s">
        <v>79</v>
      </c>
    </row>
    <row r="79" spans="1:16">
      <c r="A79" s="2">
        <v>77</v>
      </c>
      <c r="B79" s="2" t="s">
        <v>251</v>
      </c>
      <c r="C79" t="s">
        <v>252</v>
      </c>
      <c r="E79" t="s">
        <v>234</v>
      </c>
      <c r="F79">
        <v>2</v>
      </c>
      <c r="G79">
        <v>0.1</v>
      </c>
      <c r="H79">
        <v>0.2</v>
      </c>
      <c r="I79">
        <v>1133.32</v>
      </c>
      <c r="J79">
        <v>0</v>
      </c>
      <c r="K79">
        <v>800</v>
      </c>
      <c r="L79">
        <v>2266.64</v>
      </c>
      <c r="M79">
        <v>0</v>
      </c>
      <c r="N79">
        <v>1600</v>
      </c>
      <c r="P79" s="3" t="s">
        <v>79</v>
      </c>
    </row>
    <row r="80" spans="1:16">
      <c r="A80" s="2">
        <v>78</v>
      </c>
      <c r="B80" s="2" t="s">
        <v>253</v>
      </c>
      <c r="C80" t="s">
        <v>254</v>
      </c>
      <c r="E80" t="s">
        <v>234</v>
      </c>
      <c r="F80">
        <v>2</v>
      </c>
      <c r="G80">
        <v>4</v>
      </c>
      <c r="H80">
        <v>8</v>
      </c>
      <c r="I80">
        <v>1133.32</v>
      </c>
      <c r="J80">
        <v>0</v>
      </c>
      <c r="K80">
        <v>800</v>
      </c>
      <c r="L80">
        <v>2266.64</v>
      </c>
      <c r="M80">
        <v>0</v>
      </c>
      <c r="N80">
        <v>1600</v>
      </c>
      <c r="P80" s="3" t="s">
        <v>79</v>
      </c>
    </row>
    <row r="81" spans="1:16">
      <c r="A81" s="2">
        <v>79</v>
      </c>
      <c r="B81" s="2" t="s">
        <v>255</v>
      </c>
      <c r="C81" t="s">
        <v>256</v>
      </c>
      <c r="E81" t="s">
        <v>234</v>
      </c>
      <c r="F81">
        <v>2</v>
      </c>
      <c r="G81">
        <v>3</v>
      </c>
      <c r="H81">
        <v>6</v>
      </c>
      <c r="I81">
        <v>1133.32</v>
      </c>
      <c r="J81">
        <v>0</v>
      </c>
      <c r="K81">
        <v>800</v>
      </c>
      <c r="L81">
        <v>2266.64</v>
      </c>
      <c r="M81">
        <v>0</v>
      </c>
      <c r="N81">
        <v>1600</v>
      </c>
      <c r="P81" s="3" t="s">
        <v>79</v>
      </c>
    </row>
    <row r="82" spans="1:16">
      <c r="A82" s="2">
        <v>80</v>
      </c>
      <c r="B82" s="2" t="s">
        <v>257</v>
      </c>
      <c r="C82" t="s">
        <v>258</v>
      </c>
      <c r="E82" t="s">
        <v>234</v>
      </c>
      <c r="F82">
        <v>2</v>
      </c>
      <c r="G82">
        <v>1.5</v>
      </c>
      <c r="H82">
        <v>3</v>
      </c>
      <c r="I82">
        <v>1133.32</v>
      </c>
      <c r="J82">
        <v>0</v>
      </c>
      <c r="K82">
        <v>800</v>
      </c>
      <c r="L82">
        <v>2266.64</v>
      </c>
      <c r="M82">
        <v>0</v>
      </c>
      <c r="N82">
        <v>1600</v>
      </c>
      <c r="P82" s="3" t="s">
        <v>79</v>
      </c>
    </row>
    <row r="83" spans="1:16">
      <c r="A83" s="2">
        <v>81</v>
      </c>
      <c r="B83" s="2" t="s">
        <v>259</v>
      </c>
      <c r="C83" t="s">
        <v>260</v>
      </c>
      <c r="E83" t="s">
        <v>234</v>
      </c>
      <c r="F83">
        <v>1</v>
      </c>
      <c r="G83">
        <v>12</v>
      </c>
      <c r="H83">
        <v>12</v>
      </c>
      <c r="I83">
        <v>1291.65</v>
      </c>
      <c r="J83">
        <v>0</v>
      </c>
      <c r="K83">
        <v>1000</v>
      </c>
      <c r="L83">
        <v>1291.65</v>
      </c>
      <c r="M83">
        <v>0</v>
      </c>
      <c r="N83">
        <v>1000</v>
      </c>
      <c r="P83" s="3" t="s">
        <v>79</v>
      </c>
    </row>
    <row r="84" spans="1:16">
      <c r="A84" s="2">
        <v>82</v>
      </c>
      <c r="B84" s="2" t="s">
        <v>261</v>
      </c>
      <c r="C84" t="s">
        <v>262</v>
      </c>
      <c r="E84" t="s">
        <v>263</v>
      </c>
      <c r="F84">
        <v>2</v>
      </c>
      <c r="G84">
        <v>1</v>
      </c>
      <c r="H84">
        <v>2</v>
      </c>
      <c r="I84">
        <v>1937.475</v>
      </c>
      <c r="J84">
        <v>0</v>
      </c>
      <c r="K84">
        <v>1500</v>
      </c>
      <c r="L84">
        <v>3874.95</v>
      </c>
      <c r="M84">
        <v>0</v>
      </c>
      <c r="N84">
        <v>3000</v>
      </c>
      <c r="P84" s="3" t="s">
        <v>79</v>
      </c>
    </row>
    <row r="85" spans="1:16">
      <c r="A85" s="2">
        <v>83</v>
      </c>
      <c r="B85" s="2" t="s">
        <v>264</v>
      </c>
      <c r="C85" t="s">
        <v>265</v>
      </c>
      <c r="E85" t="s">
        <v>263</v>
      </c>
      <c r="F85">
        <v>4</v>
      </c>
      <c r="G85">
        <v>0.1</v>
      </c>
      <c r="H85">
        <v>0.4</v>
      </c>
      <c r="I85">
        <v>665</v>
      </c>
      <c r="J85">
        <v>0</v>
      </c>
      <c r="K85">
        <v>500</v>
      </c>
      <c r="L85">
        <v>2660</v>
      </c>
      <c r="M85">
        <v>0</v>
      </c>
      <c r="N85">
        <v>2000</v>
      </c>
      <c r="P85" s="3" t="s">
        <v>79</v>
      </c>
    </row>
    <row r="86" spans="1:16">
      <c r="A86" s="2">
        <v>84</v>
      </c>
      <c r="B86" s="2" t="s">
        <v>266</v>
      </c>
      <c r="C86" t="s">
        <v>267</v>
      </c>
      <c r="E86" t="s">
        <v>234</v>
      </c>
      <c r="F86">
        <v>2</v>
      </c>
      <c r="G86">
        <v>6</v>
      </c>
      <c r="H86">
        <v>12</v>
      </c>
      <c r="I86">
        <v>665</v>
      </c>
      <c r="J86">
        <v>0</v>
      </c>
      <c r="K86">
        <v>500</v>
      </c>
      <c r="L86">
        <v>1330</v>
      </c>
      <c r="M86">
        <v>0</v>
      </c>
      <c r="N86">
        <v>1000</v>
      </c>
      <c r="P86" s="3" t="s">
        <v>79</v>
      </c>
    </row>
    <row r="87" spans="1:16">
      <c r="A87" s="2">
        <v>85</v>
      </c>
      <c r="B87" s="2" t="s">
        <v>268</v>
      </c>
      <c r="C87" t="s">
        <v>269</v>
      </c>
      <c r="E87" t="s">
        <v>234</v>
      </c>
      <c r="F87">
        <v>2</v>
      </c>
      <c r="G87">
        <v>1</v>
      </c>
      <c r="H87">
        <v>2</v>
      </c>
      <c r="I87">
        <v>665</v>
      </c>
      <c r="J87">
        <v>0</v>
      </c>
      <c r="K87">
        <v>500</v>
      </c>
      <c r="L87">
        <v>1330</v>
      </c>
      <c r="M87">
        <v>0</v>
      </c>
      <c r="N87">
        <v>1000</v>
      </c>
      <c r="P87" s="3" t="s">
        <v>79</v>
      </c>
    </row>
    <row r="88" spans="1:16">
      <c r="A88" s="2">
        <v>86</v>
      </c>
      <c r="B88" s="2" t="s">
        <v>270</v>
      </c>
      <c r="C88" t="s">
        <v>271</v>
      </c>
      <c r="E88" t="s">
        <v>272</v>
      </c>
      <c r="F88">
        <v>2</v>
      </c>
      <c r="G88">
        <v>0.5</v>
      </c>
      <c r="H88">
        <v>1</v>
      </c>
      <c r="I88">
        <v>665</v>
      </c>
      <c r="J88">
        <v>0</v>
      </c>
      <c r="K88">
        <v>500</v>
      </c>
      <c r="L88">
        <v>1330</v>
      </c>
      <c r="M88">
        <v>0</v>
      </c>
      <c r="N88">
        <v>1000</v>
      </c>
      <c r="P88" s="3" t="s">
        <v>79</v>
      </c>
    </row>
    <row r="89" spans="1:16">
      <c r="A89" s="2">
        <v>87</v>
      </c>
      <c r="B89" s="2" t="s">
        <v>273</v>
      </c>
      <c r="C89" t="s">
        <v>274</v>
      </c>
      <c r="E89" t="s">
        <v>263</v>
      </c>
      <c r="F89">
        <v>4</v>
      </c>
      <c r="G89">
        <v>0.2</v>
      </c>
      <c r="H89">
        <v>0.8</v>
      </c>
      <c r="I89">
        <v>665</v>
      </c>
      <c r="J89">
        <v>0</v>
      </c>
      <c r="K89">
        <v>500</v>
      </c>
      <c r="L89">
        <v>2660</v>
      </c>
      <c r="M89">
        <v>0</v>
      </c>
      <c r="N89">
        <v>2000</v>
      </c>
      <c r="P89" s="3" t="s">
        <v>79</v>
      </c>
    </row>
    <row r="90" spans="1:16">
      <c r="A90" s="2">
        <v>88</v>
      </c>
      <c r="B90" s="2" t="s">
        <v>275</v>
      </c>
      <c r="C90" t="s">
        <v>276</v>
      </c>
      <c r="E90" t="s">
        <v>263</v>
      </c>
      <c r="F90">
        <v>2</v>
      </c>
      <c r="G90">
        <v>0.05</v>
      </c>
      <c r="H90">
        <v>0.1</v>
      </c>
      <c r="I90">
        <v>665</v>
      </c>
      <c r="J90">
        <v>0</v>
      </c>
      <c r="K90">
        <v>500</v>
      </c>
      <c r="L90">
        <v>1330</v>
      </c>
      <c r="M90">
        <v>0</v>
      </c>
      <c r="N90">
        <v>1000</v>
      </c>
      <c r="P90" s="3" t="s">
        <v>79</v>
      </c>
    </row>
    <row r="91" spans="1:16">
      <c r="A91" s="2">
        <v>89</v>
      </c>
      <c r="B91" s="2" t="s">
        <v>277</v>
      </c>
      <c r="C91" t="s">
        <v>278</v>
      </c>
      <c r="E91" t="s">
        <v>263</v>
      </c>
      <c r="F91">
        <v>2</v>
      </c>
      <c r="G91">
        <v>0.1</v>
      </c>
      <c r="H91">
        <v>0.2</v>
      </c>
      <c r="I91">
        <v>665</v>
      </c>
      <c r="J91">
        <v>0</v>
      </c>
      <c r="K91">
        <v>500</v>
      </c>
      <c r="L91">
        <v>1330</v>
      </c>
      <c r="M91">
        <v>0</v>
      </c>
      <c r="N91">
        <v>1000</v>
      </c>
      <c r="P91" s="3" t="s">
        <v>79</v>
      </c>
    </row>
    <row r="92" spans="1:16">
      <c r="A92" s="2">
        <v>90</v>
      </c>
      <c r="B92" s="2" t="s">
        <v>279</v>
      </c>
      <c r="C92" t="s">
        <v>280</v>
      </c>
      <c r="E92" t="s">
        <v>263</v>
      </c>
      <c r="F92">
        <v>2</v>
      </c>
      <c r="G92">
        <v>0.05</v>
      </c>
      <c r="H92">
        <v>0.1</v>
      </c>
      <c r="I92">
        <v>665</v>
      </c>
      <c r="J92">
        <v>0</v>
      </c>
      <c r="K92">
        <v>500</v>
      </c>
      <c r="L92">
        <v>1330</v>
      </c>
      <c r="M92">
        <v>0</v>
      </c>
      <c r="N92">
        <v>1000</v>
      </c>
      <c r="P92" s="3" t="s">
        <v>79</v>
      </c>
    </row>
    <row r="93" spans="1:16">
      <c r="A93" s="2">
        <v>91</v>
      </c>
      <c r="B93" s="2" t="s">
        <v>281</v>
      </c>
      <c r="C93" t="s">
        <v>282</v>
      </c>
      <c r="E93" t="s">
        <v>263</v>
      </c>
      <c r="F93">
        <v>2</v>
      </c>
      <c r="G93">
        <v>0.1</v>
      </c>
      <c r="H93">
        <v>0.2</v>
      </c>
      <c r="I93">
        <v>665</v>
      </c>
      <c r="J93">
        <v>0</v>
      </c>
      <c r="K93">
        <v>500</v>
      </c>
      <c r="L93">
        <v>1330</v>
      </c>
      <c r="M93">
        <v>0</v>
      </c>
      <c r="N93">
        <v>1000</v>
      </c>
      <c r="P93" s="3" t="s">
        <v>79</v>
      </c>
    </row>
    <row r="94" spans="1:16">
      <c r="A94" s="2">
        <v>92</v>
      </c>
      <c r="B94" s="2" t="s">
        <v>283</v>
      </c>
      <c r="C94" t="s">
        <v>284</v>
      </c>
      <c r="E94" t="s">
        <v>230</v>
      </c>
      <c r="F94">
        <v>4</v>
      </c>
      <c r="G94">
        <v>0.2</v>
      </c>
      <c r="H94">
        <v>0.8</v>
      </c>
      <c r="I94">
        <v>665</v>
      </c>
      <c r="J94">
        <v>0</v>
      </c>
      <c r="K94">
        <v>500</v>
      </c>
      <c r="L94">
        <v>2660</v>
      </c>
      <c r="M94">
        <v>0</v>
      </c>
      <c r="N94">
        <v>2000</v>
      </c>
      <c r="P94" s="3" t="s">
        <v>79</v>
      </c>
    </row>
    <row r="95" spans="1:16">
      <c r="A95" s="2">
        <v>93</v>
      </c>
      <c r="B95" s="2" t="s">
        <v>285</v>
      </c>
      <c r="C95" t="s">
        <v>286</v>
      </c>
      <c r="E95" t="s">
        <v>263</v>
      </c>
      <c r="F95">
        <v>2</v>
      </c>
      <c r="G95">
        <v>45</v>
      </c>
      <c r="H95">
        <v>90</v>
      </c>
      <c r="I95">
        <v>665</v>
      </c>
      <c r="J95">
        <v>0</v>
      </c>
      <c r="K95">
        <v>500</v>
      </c>
      <c r="L95">
        <v>1330</v>
      </c>
      <c r="M95">
        <v>0</v>
      </c>
      <c r="N95">
        <v>1000</v>
      </c>
      <c r="P95" s="3" t="s">
        <v>79</v>
      </c>
    </row>
    <row r="96" spans="1:16">
      <c r="A96" s="2">
        <v>94</v>
      </c>
      <c r="B96" s="2" t="s">
        <v>287</v>
      </c>
      <c r="C96" t="s">
        <v>288</v>
      </c>
      <c r="E96" t="s">
        <v>263</v>
      </c>
      <c r="F96">
        <v>2</v>
      </c>
      <c r="G96">
        <v>18</v>
      </c>
      <c r="H96">
        <v>36</v>
      </c>
      <c r="I96">
        <v>665</v>
      </c>
      <c r="J96">
        <v>0</v>
      </c>
      <c r="K96">
        <v>500</v>
      </c>
      <c r="L96">
        <v>1330</v>
      </c>
      <c r="M96">
        <v>0</v>
      </c>
      <c r="N96">
        <v>1000</v>
      </c>
      <c r="P96" s="3" t="s">
        <v>79</v>
      </c>
    </row>
    <row r="97" spans="1:16">
      <c r="A97" s="2">
        <v>95</v>
      </c>
      <c r="B97" s="2" t="s">
        <v>289</v>
      </c>
      <c r="C97" t="s">
        <v>290</v>
      </c>
      <c r="E97" t="s">
        <v>234</v>
      </c>
      <c r="F97">
        <v>2</v>
      </c>
      <c r="I97">
        <v>3483.3</v>
      </c>
      <c r="J97">
        <v>0</v>
      </c>
      <c r="K97">
        <v>2000</v>
      </c>
      <c r="L97">
        <v>6966.6</v>
      </c>
      <c r="M97">
        <v>0</v>
      </c>
      <c r="N97">
        <v>4000</v>
      </c>
      <c r="P97" s="3" t="s">
        <v>79</v>
      </c>
    </row>
    <row r="98" spans="1:16">
      <c r="A98" s="2">
        <v>96</v>
      </c>
      <c r="B98" s="2" t="s">
        <v>291</v>
      </c>
      <c r="C98" t="s">
        <v>292</v>
      </c>
      <c r="E98" t="s">
        <v>234</v>
      </c>
      <c r="F98">
        <v>2</v>
      </c>
      <c r="I98">
        <v>4874.95</v>
      </c>
      <c r="J98">
        <v>0</v>
      </c>
      <c r="K98">
        <v>3000</v>
      </c>
      <c r="L98">
        <v>9749.9</v>
      </c>
      <c r="M98">
        <v>0</v>
      </c>
      <c r="N98">
        <v>6000</v>
      </c>
      <c r="P98" s="3" t="s">
        <v>79</v>
      </c>
    </row>
    <row r="99" ht="27" spans="1:16">
      <c r="A99" s="2">
        <v>97</v>
      </c>
      <c r="B99" s="2" t="s">
        <v>293</v>
      </c>
      <c r="C99" t="s">
        <v>294</v>
      </c>
      <c r="E99" t="s">
        <v>234</v>
      </c>
      <c r="F99">
        <v>32</v>
      </c>
      <c r="G99">
        <v>25</v>
      </c>
      <c r="H99">
        <v>800</v>
      </c>
      <c r="I99">
        <v>153.332</v>
      </c>
      <c r="J99">
        <v>0</v>
      </c>
      <c r="K99">
        <v>80</v>
      </c>
      <c r="L99">
        <v>4906.624</v>
      </c>
      <c r="M99">
        <v>0</v>
      </c>
      <c r="N99">
        <v>2560</v>
      </c>
      <c r="P99" s="3" t="s">
        <v>295</v>
      </c>
    </row>
    <row r="100" spans="1:16">
      <c r="A100" s="2">
        <v>98</v>
      </c>
      <c r="B100" s="2" t="s">
        <v>296</v>
      </c>
      <c r="C100" t="s">
        <v>297</v>
      </c>
      <c r="E100" t="s">
        <v>234</v>
      </c>
      <c r="F100">
        <v>2</v>
      </c>
      <c r="G100">
        <v>0.2</v>
      </c>
      <c r="H100">
        <v>0.4</v>
      </c>
      <c r="I100">
        <v>387.495</v>
      </c>
      <c r="J100">
        <v>0</v>
      </c>
      <c r="K100">
        <v>300</v>
      </c>
      <c r="L100">
        <v>774.99</v>
      </c>
      <c r="M100">
        <v>0</v>
      </c>
      <c r="N100">
        <v>600</v>
      </c>
      <c r="P100" s="3" t="s">
        <v>298</v>
      </c>
    </row>
    <row r="101" ht="54" spans="1:16">
      <c r="A101" s="2">
        <v>99</v>
      </c>
      <c r="B101" s="2" t="s">
        <v>299</v>
      </c>
      <c r="C101" t="s">
        <v>1124</v>
      </c>
      <c r="E101" t="s">
        <v>234</v>
      </c>
      <c r="F101">
        <v>2</v>
      </c>
      <c r="I101">
        <v>25833</v>
      </c>
      <c r="J101">
        <v>0</v>
      </c>
      <c r="K101">
        <v>20000</v>
      </c>
      <c r="L101">
        <v>51666</v>
      </c>
      <c r="M101">
        <v>0</v>
      </c>
      <c r="N101">
        <v>40000</v>
      </c>
      <c r="P101" s="3" t="s">
        <v>302</v>
      </c>
    </row>
    <row r="102" spans="1:16">
      <c r="A102" s="2">
        <v>100</v>
      </c>
      <c r="B102" s="2" t="s">
        <v>303</v>
      </c>
      <c r="C102" t="s">
        <v>1125</v>
      </c>
      <c r="E102" t="s">
        <v>230</v>
      </c>
      <c r="F102">
        <v>1</v>
      </c>
      <c r="I102">
        <v>55666</v>
      </c>
      <c r="J102">
        <v>0</v>
      </c>
      <c r="K102">
        <v>40000</v>
      </c>
      <c r="L102">
        <v>55666</v>
      </c>
      <c r="M102">
        <v>0</v>
      </c>
      <c r="N102">
        <v>40000</v>
      </c>
      <c r="P102" s="3" t="s">
        <v>79</v>
      </c>
    </row>
    <row r="103" ht="54" spans="1:16">
      <c r="A103" s="2">
        <v>101</v>
      </c>
      <c r="B103" s="2" t="s">
        <v>306</v>
      </c>
      <c r="C103" t="s">
        <v>1126</v>
      </c>
      <c r="E103" t="s">
        <v>230</v>
      </c>
      <c r="F103">
        <v>2</v>
      </c>
      <c r="I103">
        <v>7458.25</v>
      </c>
      <c r="J103">
        <v>0</v>
      </c>
      <c r="K103">
        <v>5000</v>
      </c>
      <c r="L103">
        <v>14916.5</v>
      </c>
      <c r="M103">
        <v>0</v>
      </c>
      <c r="N103">
        <v>10000</v>
      </c>
      <c r="P103" s="3" t="s">
        <v>308</v>
      </c>
    </row>
    <row r="104" spans="1:16">
      <c r="A104" s="2">
        <v>102</v>
      </c>
      <c r="B104" s="2" t="s">
        <v>309</v>
      </c>
      <c r="C104" t="s">
        <v>1127</v>
      </c>
      <c r="E104" t="s">
        <v>230</v>
      </c>
      <c r="F104">
        <v>2</v>
      </c>
      <c r="I104">
        <v>1420.815</v>
      </c>
      <c r="J104">
        <v>0</v>
      </c>
      <c r="K104">
        <v>1100</v>
      </c>
      <c r="L104">
        <v>2841.63</v>
      </c>
      <c r="M104">
        <v>0</v>
      </c>
      <c r="N104">
        <v>2200</v>
      </c>
      <c r="P104" s="3" t="s">
        <v>79</v>
      </c>
    </row>
    <row r="105" spans="1:16">
      <c r="A105" s="2">
        <v>103</v>
      </c>
      <c r="B105" s="2" t="s">
        <v>311</v>
      </c>
      <c r="C105" t="s">
        <v>312</v>
      </c>
      <c r="D105" s="3" t="s">
        <v>313</v>
      </c>
      <c r="E105" t="s">
        <v>234</v>
      </c>
      <c r="F105">
        <v>1</v>
      </c>
      <c r="I105">
        <v>55666</v>
      </c>
      <c r="J105">
        <v>0</v>
      </c>
      <c r="K105">
        <v>40000</v>
      </c>
      <c r="L105">
        <v>55666</v>
      </c>
      <c r="M105">
        <v>0</v>
      </c>
      <c r="N105">
        <v>40000</v>
      </c>
      <c r="P105" s="3" t="s">
        <v>79</v>
      </c>
    </row>
    <row r="106" spans="1:16">
      <c r="A106" s="2">
        <v>104</v>
      </c>
      <c r="B106" s="2" t="s">
        <v>314</v>
      </c>
      <c r="C106" t="s">
        <v>1128</v>
      </c>
      <c r="E106" t="s">
        <v>230</v>
      </c>
      <c r="F106">
        <v>1</v>
      </c>
      <c r="I106">
        <v>1820.815</v>
      </c>
      <c r="J106">
        <v>0</v>
      </c>
      <c r="K106">
        <v>1100</v>
      </c>
      <c r="L106">
        <v>1820.815</v>
      </c>
      <c r="M106">
        <v>0</v>
      </c>
      <c r="N106">
        <v>1100</v>
      </c>
      <c r="P106" s="3" t="s">
        <v>79</v>
      </c>
    </row>
    <row r="107" spans="1:16">
      <c r="A107" s="2">
        <v>105</v>
      </c>
      <c r="B107" s="2">
        <v>2.2</v>
      </c>
      <c r="C107" t="s">
        <v>1129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</row>
    <row r="108" ht="40.5" spans="1:16">
      <c r="A108" s="2">
        <v>106</v>
      </c>
      <c r="B108" s="2" t="s">
        <v>317</v>
      </c>
      <c r="C108" t="s">
        <v>133</v>
      </c>
      <c r="D108" s="3" t="s">
        <v>318</v>
      </c>
      <c r="E108" t="s">
        <v>59</v>
      </c>
      <c r="F108">
        <v>9</v>
      </c>
      <c r="I108">
        <v>2324.97</v>
      </c>
      <c r="J108">
        <v>1500</v>
      </c>
      <c r="K108">
        <v>300</v>
      </c>
      <c r="L108">
        <v>20924.73</v>
      </c>
      <c r="M108">
        <v>13500</v>
      </c>
      <c r="N108">
        <v>2700</v>
      </c>
      <c r="P108" s="3" t="s">
        <v>135</v>
      </c>
    </row>
    <row r="109" ht="54" spans="1:16">
      <c r="A109" s="2">
        <v>107</v>
      </c>
      <c r="B109" s="2" t="s">
        <v>319</v>
      </c>
      <c r="C109" t="s">
        <v>320</v>
      </c>
      <c r="D109" s="3" t="s">
        <v>63</v>
      </c>
      <c r="E109" t="s">
        <v>64</v>
      </c>
      <c r="F109">
        <v>2.5</v>
      </c>
      <c r="I109">
        <v>39199.862920354</v>
      </c>
      <c r="J109">
        <v>30000</v>
      </c>
      <c r="K109">
        <v>3800</v>
      </c>
      <c r="L109">
        <v>97999.657300885</v>
      </c>
      <c r="M109">
        <v>75000</v>
      </c>
      <c r="N109">
        <v>9500</v>
      </c>
      <c r="P109" s="3" t="s">
        <v>321</v>
      </c>
    </row>
    <row r="110" spans="1:16">
      <c r="A110" s="2">
        <v>108</v>
      </c>
      <c r="B110" s="2">
        <v>3</v>
      </c>
      <c r="C110" t="s">
        <v>1130</v>
      </c>
      <c r="I110">
        <v>0</v>
      </c>
      <c r="J110">
        <v>0</v>
      </c>
      <c r="K110">
        <v>0</v>
      </c>
      <c r="L110">
        <v>113825.808752336</v>
      </c>
      <c r="M110">
        <v>54500</v>
      </c>
      <c r="N110">
        <v>35340</v>
      </c>
    </row>
    <row r="111" spans="1:16">
      <c r="A111" s="2">
        <v>109</v>
      </c>
      <c r="B111" s="2" t="s">
        <v>323</v>
      </c>
      <c r="C111" t="s">
        <v>1123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</row>
    <row r="112" ht="54" spans="1:16">
      <c r="A112" s="2">
        <v>110</v>
      </c>
      <c r="B112" s="2" t="s">
        <v>325</v>
      </c>
      <c r="C112" t="s">
        <v>326</v>
      </c>
      <c r="D112" s="3" t="s">
        <v>327</v>
      </c>
      <c r="E112" t="s">
        <v>230</v>
      </c>
      <c r="F112">
        <v>1</v>
      </c>
      <c r="I112">
        <v>118.15938</v>
      </c>
      <c r="J112">
        <v>0</v>
      </c>
      <c r="K112">
        <v>150</v>
      </c>
      <c r="L112">
        <v>118.15938</v>
      </c>
      <c r="M112">
        <v>0</v>
      </c>
      <c r="N112">
        <v>150</v>
      </c>
      <c r="P112" s="3" t="s">
        <v>328</v>
      </c>
    </row>
    <row r="113" spans="1:16">
      <c r="A113" s="2">
        <v>111</v>
      </c>
      <c r="B113" s="2" t="s">
        <v>329</v>
      </c>
      <c r="C113" t="s">
        <v>326</v>
      </c>
      <c r="D113" s="3" t="s">
        <v>330</v>
      </c>
      <c r="E113" t="s">
        <v>230</v>
      </c>
      <c r="F113">
        <v>4</v>
      </c>
      <c r="I113">
        <v>169.20615</v>
      </c>
      <c r="J113">
        <v>0</v>
      </c>
      <c r="K113">
        <v>125</v>
      </c>
      <c r="L113">
        <v>676.8246</v>
      </c>
      <c r="M113">
        <v>0</v>
      </c>
      <c r="N113">
        <v>500</v>
      </c>
      <c r="P113" s="3" t="s">
        <v>79</v>
      </c>
    </row>
    <row r="114" spans="1:16">
      <c r="A114" s="2">
        <v>112</v>
      </c>
      <c r="B114" s="2" t="s">
        <v>331</v>
      </c>
      <c r="C114" t="s">
        <v>326</v>
      </c>
      <c r="D114" s="3" t="s">
        <v>332</v>
      </c>
      <c r="E114" t="s">
        <v>230</v>
      </c>
      <c r="F114">
        <v>4</v>
      </c>
      <c r="I114">
        <v>101.52369</v>
      </c>
      <c r="J114">
        <v>0</v>
      </c>
      <c r="K114">
        <v>75</v>
      </c>
      <c r="L114">
        <v>406.09476</v>
      </c>
      <c r="M114">
        <v>0</v>
      </c>
      <c r="N114">
        <v>300</v>
      </c>
      <c r="P114" s="3" t="s">
        <v>79</v>
      </c>
    </row>
    <row r="115" spans="1:16">
      <c r="A115" s="2">
        <v>113</v>
      </c>
      <c r="B115" s="2" t="s">
        <v>333</v>
      </c>
      <c r="C115" t="s">
        <v>334</v>
      </c>
      <c r="D115" s="3" t="s">
        <v>335</v>
      </c>
      <c r="E115" t="s">
        <v>263</v>
      </c>
      <c r="F115">
        <v>1</v>
      </c>
      <c r="I115">
        <v>135.36492</v>
      </c>
      <c r="J115">
        <v>0</v>
      </c>
      <c r="K115">
        <v>100</v>
      </c>
      <c r="L115">
        <v>135.36492</v>
      </c>
      <c r="M115">
        <v>0</v>
      </c>
      <c r="N115">
        <v>100</v>
      </c>
      <c r="P115" s="3" t="s">
        <v>79</v>
      </c>
    </row>
    <row r="116" spans="1:16">
      <c r="A116" s="2">
        <v>114</v>
      </c>
      <c r="B116" s="2" t="s">
        <v>337</v>
      </c>
      <c r="C116" t="s">
        <v>334</v>
      </c>
      <c r="D116" s="3" t="s">
        <v>338</v>
      </c>
      <c r="E116" t="s">
        <v>263</v>
      </c>
      <c r="F116">
        <v>8</v>
      </c>
      <c r="I116">
        <v>40.609476</v>
      </c>
      <c r="J116">
        <v>0</v>
      </c>
      <c r="K116">
        <v>30</v>
      </c>
      <c r="L116">
        <v>324.875808</v>
      </c>
      <c r="M116">
        <v>0</v>
      </c>
      <c r="N116">
        <v>240</v>
      </c>
      <c r="P116" s="3" t="s">
        <v>79</v>
      </c>
    </row>
    <row r="117" spans="1:16">
      <c r="A117" s="2">
        <v>115</v>
      </c>
      <c r="B117" s="2" t="s">
        <v>339</v>
      </c>
      <c r="C117" t="s">
        <v>1131</v>
      </c>
      <c r="E117" t="s">
        <v>263</v>
      </c>
      <c r="F117">
        <v>8</v>
      </c>
      <c r="I117">
        <v>676.8246</v>
      </c>
      <c r="J117">
        <v>0</v>
      </c>
      <c r="K117">
        <v>500</v>
      </c>
      <c r="L117">
        <v>5414.5968</v>
      </c>
      <c r="M117">
        <v>0</v>
      </c>
      <c r="N117">
        <v>4000</v>
      </c>
      <c r="P117" s="3" t="s">
        <v>79</v>
      </c>
    </row>
    <row r="118" ht="27" spans="1:16">
      <c r="A118" s="2">
        <v>116</v>
      </c>
      <c r="B118" s="2" t="s">
        <v>341</v>
      </c>
      <c r="C118" t="s">
        <v>1132</v>
      </c>
      <c r="E118" t="s">
        <v>1066</v>
      </c>
      <c r="F118">
        <v>40</v>
      </c>
      <c r="I118">
        <v>20.304738</v>
      </c>
      <c r="J118">
        <v>0</v>
      </c>
      <c r="K118">
        <v>15</v>
      </c>
      <c r="L118">
        <v>812.18952</v>
      </c>
      <c r="M118">
        <v>0</v>
      </c>
      <c r="N118">
        <v>600</v>
      </c>
      <c r="P118" s="3" t="s">
        <v>295</v>
      </c>
    </row>
    <row r="119" spans="1:16">
      <c r="A119" s="2">
        <v>117</v>
      </c>
      <c r="B119" s="2" t="s">
        <v>344</v>
      </c>
      <c r="C119" t="s">
        <v>1133</v>
      </c>
      <c r="E119" t="s">
        <v>1066</v>
      </c>
      <c r="F119">
        <v>20</v>
      </c>
      <c r="I119">
        <v>20.304738</v>
      </c>
      <c r="J119">
        <v>0</v>
      </c>
      <c r="K119">
        <v>15</v>
      </c>
      <c r="L119">
        <v>406.09476</v>
      </c>
      <c r="M119">
        <v>0</v>
      </c>
      <c r="N119">
        <v>300</v>
      </c>
      <c r="P119" s="3" t="s">
        <v>79</v>
      </c>
    </row>
    <row r="120" spans="1:16">
      <c r="A120" s="2">
        <v>118</v>
      </c>
      <c r="B120" s="2" t="s">
        <v>346</v>
      </c>
      <c r="C120" t="s">
        <v>1134</v>
      </c>
      <c r="E120" t="s">
        <v>1066</v>
      </c>
      <c r="F120">
        <v>30</v>
      </c>
      <c r="I120">
        <v>40.609476</v>
      </c>
      <c r="J120">
        <v>0</v>
      </c>
      <c r="K120">
        <v>30</v>
      </c>
      <c r="L120">
        <v>1218.28428</v>
      </c>
      <c r="M120">
        <v>0</v>
      </c>
      <c r="N120">
        <v>900</v>
      </c>
      <c r="P120" s="3" t="s">
        <v>79</v>
      </c>
    </row>
    <row r="121" spans="1:16">
      <c r="A121" s="2">
        <v>119</v>
      </c>
      <c r="B121" s="2">
        <v>3.2</v>
      </c>
      <c r="C121" t="s">
        <v>1129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</row>
    <row r="122" ht="81" spans="1:16">
      <c r="A122" s="2">
        <v>120</v>
      </c>
      <c r="B122" s="2" t="s">
        <v>348</v>
      </c>
      <c r="C122" t="s">
        <v>349</v>
      </c>
      <c r="D122" s="3" t="s">
        <v>63</v>
      </c>
      <c r="E122" t="s">
        <v>64</v>
      </c>
      <c r="F122">
        <v>10.5</v>
      </c>
      <c r="I122">
        <v>9113.17370707965</v>
      </c>
      <c r="J122">
        <v>4500</v>
      </c>
      <c r="K122">
        <v>2600</v>
      </c>
      <c r="L122">
        <v>95688.3239243363</v>
      </c>
      <c r="M122">
        <v>47250</v>
      </c>
      <c r="N122">
        <v>27300</v>
      </c>
      <c r="P122" s="3" t="s">
        <v>352</v>
      </c>
    </row>
    <row r="123" ht="81" spans="1:16">
      <c r="A123" s="2">
        <v>121</v>
      </c>
      <c r="B123" s="2" t="s">
        <v>353</v>
      </c>
      <c r="C123" t="s">
        <v>1135</v>
      </c>
      <c r="D123" s="3" t="s">
        <v>63</v>
      </c>
      <c r="E123" t="s">
        <v>64</v>
      </c>
      <c r="F123">
        <v>0.25</v>
      </c>
      <c r="I123">
        <v>34500</v>
      </c>
      <c r="J123">
        <v>29000</v>
      </c>
      <c r="K123">
        <v>3800</v>
      </c>
      <c r="L123">
        <v>8625</v>
      </c>
      <c r="M123">
        <v>7250</v>
      </c>
      <c r="N123">
        <v>950</v>
      </c>
      <c r="P123" s="3" t="s">
        <v>355</v>
      </c>
    </row>
    <row r="124" spans="1:16">
      <c r="A124" s="2">
        <v>122</v>
      </c>
      <c r="B124" s="2">
        <v>4</v>
      </c>
      <c r="C124" t="s">
        <v>1136</v>
      </c>
      <c r="I124">
        <v>0</v>
      </c>
      <c r="J124">
        <v>0</v>
      </c>
      <c r="K124">
        <v>0</v>
      </c>
      <c r="L124">
        <v>29099.2650812389</v>
      </c>
      <c r="M124">
        <v>13500</v>
      </c>
      <c r="N124">
        <v>9100</v>
      </c>
    </row>
    <row r="125" spans="1:16">
      <c r="A125" s="2">
        <v>123</v>
      </c>
      <c r="B125" s="2" t="s">
        <v>358</v>
      </c>
      <c r="C125" t="s">
        <v>1123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</row>
    <row r="126" ht="54" spans="1:16">
      <c r="A126" s="2">
        <v>124</v>
      </c>
      <c r="B126" s="2" t="s">
        <v>359</v>
      </c>
      <c r="C126" t="s">
        <v>1137</v>
      </c>
      <c r="D126" s="3" t="s">
        <v>361</v>
      </c>
      <c r="E126" t="s">
        <v>263</v>
      </c>
      <c r="F126">
        <v>1</v>
      </c>
      <c r="I126">
        <v>270.72984</v>
      </c>
      <c r="J126">
        <v>0</v>
      </c>
      <c r="K126">
        <v>200</v>
      </c>
      <c r="L126">
        <v>270.72984</v>
      </c>
      <c r="M126">
        <v>0</v>
      </c>
      <c r="N126">
        <v>200</v>
      </c>
      <c r="P126" s="3" t="s">
        <v>328</v>
      </c>
    </row>
    <row r="127" spans="1:16">
      <c r="A127" s="2">
        <v>125</v>
      </c>
      <c r="B127" s="2" t="s">
        <v>362</v>
      </c>
      <c r="C127" t="s">
        <v>1138</v>
      </c>
      <c r="D127" s="3" t="s">
        <v>364</v>
      </c>
      <c r="E127" t="s">
        <v>263</v>
      </c>
      <c r="F127">
        <v>4</v>
      </c>
      <c r="I127">
        <v>108.291936</v>
      </c>
      <c r="J127">
        <v>0</v>
      </c>
      <c r="K127">
        <v>80</v>
      </c>
      <c r="L127">
        <v>433.167744</v>
      </c>
      <c r="M127">
        <v>0</v>
      </c>
      <c r="N127">
        <v>320</v>
      </c>
      <c r="P127" s="3" t="s">
        <v>79</v>
      </c>
    </row>
    <row r="128" spans="1:16">
      <c r="A128" s="2">
        <v>126</v>
      </c>
      <c r="B128" s="2" t="s">
        <v>365</v>
      </c>
      <c r="C128" t="s">
        <v>1138</v>
      </c>
      <c r="D128" s="3" t="s">
        <v>366</v>
      </c>
      <c r="E128" t="s">
        <v>263</v>
      </c>
      <c r="F128">
        <v>2</v>
      </c>
      <c r="I128">
        <v>67.68246</v>
      </c>
      <c r="J128">
        <v>0</v>
      </c>
      <c r="K128">
        <v>50</v>
      </c>
      <c r="L128">
        <v>135.36492</v>
      </c>
      <c r="M128">
        <v>0</v>
      </c>
      <c r="N128">
        <v>100</v>
      </c>
      <c r="P128" s="3" t="s">
        <v>79</v>
      </c>
    </row>
    <row r="129" spans="1:16">
      <c r="A129" s="2">
        <v>127</v>
      </c>
      <c r="B129" s="2" t="s">
        <v>367</v>
      </c>
      <c r="C129" t="s">
        <v>1138</v>
      </c>
      <c r="D129" s="3" t="s">
        <v>338</v>
      </c>
      <c r="E129" t="s">
        <v>263</v>
      </c>
      <c r="F129">
        <v>6</v>
      </c>
      <c r="I129">
        <v>40.609476</v>
      </c>
      <c r="J129">
        <v>0</v>
      </c>
      <c r="K129">
        <v>30</v>
      </c>
      <c r="L129">
        <v>243.656856</v>
      </c>
      <c r="M129">
        <v>0</v>
      </c>
      <c r="N129">
        <v>180</v>
      </c>
      <c r="P129" s="3" t="s">
        <v>79</v>
      </c>
    </row>
    <row r="130" spans="1:16">
      <c r="A130" s="2">
        <v>128</v>
      </c>
      <c r="B130" s="2" t="s">
        <v>368</v>
      </c>
      <c r="C130" t="s">
        <v>1138</v>
      </c>
      <c r="D130" s="3" t="s">
        <v>369</v>
      </c>
      <c r="E130" t="s">
        <v>263</v>
      </c>
      <c r="F130">
        <v>20</v>
      </c>
      <c r="I130">
        <v>33.84123</v>
      </c>
      <c r="J130">
        <v>0</v>
      </c>
      <c r="K130">
        <v>25</v>
      </c>
      <c r="L130">
        <v>676.8246</v>
      </c>
      <c r="M130">
        <v>0</v>
      </c>
      <c r="N130">
        <v>500</v>
      </c>
      <c r="P130" s="3" t="s">
        <v>79</v>
      </c>
    </row>
    <row r="131" spans="1:16">
      <c r="A131" s="2">
        <v>129</v>
      </c>
      <c r="B131" s="2">
        <v>4.2</v>
      </c>
      <c r="C131" t="s">
        <v>1129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</row>
    <row r="132" ht="81" spans="1:16">
      <c r="A132" s="2">
        <v>130</v>
      </c>
      <c r="B132" s="2" t="s">
        <v>370</v>
      </c>
      <c r="C132" t="s">
        <v>349</v>
      </c>
      <c r="D132" s="3" t="s">
        <v>63</v>
      </c>
      <c r="E132" t="s">
        <v>64</v>
      </c>
      <c r="F132">
        <v>3</v>
      </c>
      <c r="I132">
        <v>9113.17370707965</v>
      </c>
      <c r="J132">
        <v>4500</v>
      </c>
      <c r="K132">
        <v>2600</v>
      </c>
      <c r="L132">
        <v>27339.5211212389</v>
      </c>
      <c r="M132">
        <v>13500</v>
      </c>
      <c r="N132">
        <v>7800</v>
      </c>
      <c r="P132" s="3" t="s">
        <v>352</v>
      </c>
    </row>
    <row r="133" spans="1:16">
      <c r="A133" s="2">
        <v>131</v>
      </c>
      <c r="B133" s="2">
        <v>5</v>
      </c>
      <c r="C133" t="s">
        <v>1139</v>
      </c>
      <c r="I133">
        <v>0</v>
      </c>
      <c r="J133">
        <v>0</v>
      </c>
      <c r="K133">
        <v>0</v>
      </c>
      <c r="L133">
        <v>236098.102825593</v>
      </c>
      <c r="M133">
        <v>132388</v>
      </c>
      <c r="N133">
        <v>53648</v>
      </c>
    </row>
    <row r="134" spans="1:16">
      <c r="A134" s="2">
        <v>132</v>
      </c>
      <c r="B134" s="2">
        <v>5.1</v>
      </c>
      <c r="C134" t="s">
        <v>1129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ht="81" spans="1:16">
      <c r="A135" s="2">
        <v>133</v>
      </c>
      <c r="B135" s="2" t="s">
        <v>372</v>
      </c>
      <c r="C135" t="s">
        <v>1140</v>
      </c>
      <c r="D135" s="3" t="s">
        <v>63</v>
      </c>
      <c r="E135" t="s">
        <v>64</v>
      </c>
      <c r="F135">
        <v>7.37</v>
      </c>
      <c r="I135">
        <v>8394.42191946903</v>
      </c>
      <c r="J135">
        <v>3900</v>
      </c>
      <c r="K135">
        <v>2600</v>
      </c>
      <c r="L135">
        <v>61866.8895464868</v>
      </c>
      <c r="M135">
        <v>28743</v>
      </c>
      <c r="N135">
        <v>19162</v>
      </c>
      <c r="P135" s="3" t="s">
        <v>352</v>
      </c>
    </row>
    <row r="136" spans="1:16">
      <c r="A136" s="2">
        <v>134</v>
      </c>
      <c r="B136" s="2" t="s">
        <v>374</v>
      </c>
      <c r="C136" t="s">
        <v>1141</v>
      </c>
      <c r="D136" s="3" t="s">
        <v>63</v>
      </c>
      <c r="E136" t="s">
        <v>64</v>
      </c>
      <c r="F136">
        <v>1.27</v>
      </c>
      <c r="I136">
        <v>9352.75763628318</v>
      </c>
      <c r="J136">
        <v>4700</v>
      </c>
      <c r="K136">
        <v>2600</v>
      </c>
      <c r="L136">
        <v>11878.0021980796</v>
      </c>
      <c r="M136">
        <v>5969</v>
      </c>
      <c r="N136">
        <v>3302</v>
      </c>
      <c r="P136" s="3" t="s">
        <v>79</v>
      </c>
    </row>
    <row r="137" ht="94.5" spans="1:16">
      <c r="A137" s="2">
        <v>135</v>
      </c>
      <c r="B137" s="2" t="s">
        <v>376</v>
      </c>
      <c r="C137" t="s">
        <v>1142</v>
      </c>
      <c r="D137" s="3" t="s">
        <v>63</v>
      </c>
      <c r="E137" t="s">
        <v>64</v>
      </c>
      <c r="F137">
        <v>6.84</v>
      </c>
      <c r="I137">
        <v>8394.42191946903</v>
      </c>
      <c r="J137">
        <v>3900</v>
      </c>
      <c r="K137">
        <v>2600</v>
      </c>
      <c r="L137">
        <v>57417.8459291682</v>
      </c>
      <c r="M137">
        <v>26676</v>
      </c>
      <c r="N137">
        <v>17784</v>
      </c>
      <c r="P137" s="3" t="s">
        <v>378</v>
      </c>
    </row>
    <row r="138" ht="27" spans="1:16">
      <c r="A138" s="2">
        <v>136</v>
      </c>
      <c r="B138" s="2" t="s">
        <v>379</v>
      </c>
      <c r="C138" t="s">
        <v>385</v>
      </c>
      <c r="D138" s="3" t="s">
        <v>381</v>
      </c>
      <c r="E138" t="s">
        <v>468</v>
      </c>
      <c r="F138">
        <v>30</v>
      </c>
      <c r="I138">
        <v>894.72618361062</v>
      </c>
      <c r="J138">
        <v>600</v>
      </c>
      <c r="K138">
        <v>130</v>
      </c>
      <c r="L138">
        <v>26841.7855083186</v>
      </c>
      <c r="M138">
        <v>18000</v>
      </c>
      <c r="N138">
        <v>3900</v>
      </c>
      <c r="P138" s="3" t="s">
        <v>383</v>
      </c>
    </row>
    <row r="139" spans="1:16">
      <c r="A139" s="2">
        <v>137</v>
      </c>
      <c r="B139" s="2" t="s">
        <v>384</v>
      </c>
      <c r="C139" t="s">
        <v>385</v>
      </c>
      <c r="D139" s="3" t="s">
        <v>386</v>
      </c>
      <c r="E139" t="s">
        <v>468</v>
      </c>
      <c r="F139">
        <v>60</v>
      </c>
      <c r="I139">
        <v>337.993028123894</v>
      </c>
      <c r="J139">
        <v>220</v>
      </c>
      <c r="K139">
        <v>55</v>
      </c>
      <c r="L139">
        <v>20279.5816874336</v>
      </c>
      <c r="M139">
        <v>13200</v>
      </c>
      <c r="N139">
        <v>3300</v>
      </c>
      <c r="P139" s="3" t="s">
        <v>79</v>
      </c>
    </row>
    <row r="140" spans="1:16">
      <c r="A140" s="2">
        <v>138</v>
      </c>
      <c r="B140" s="2" t="s">
        <v>387</v>
      </c>
      <c r="C140" t="s">
        <v>385</v>
      </c>
      <c r="D140" s="3" t="s">
        <v>388</v>
      </c>
      <c r="E140" t="s">
        <v>468</v>
      </c>
      <c r="F140">
        <v>80</v>
      </c>
      <c r="I140">
        <v>500.490828106194</v>
      </c>
      <c r="J140">
        <v>350</v>
      </c>
      <c r="K140">
        <v>60</v>
      </c>
      <c r="L140">
        <v>40039.2662484955</v>
      </c>
      <c r="M140">
        <v>28000</v>
      </c>
      <c r="N140">
        <v>4800</v>
      </c>
      <c r="P140" s="3" t="s">
        <v>79</v>
      </c>
    </row>
    <row r="141" spans="1:16">
      <c r="A141" s="2">
        <v>139</v>
      </c>
      <c r="B141" s="2" t="s">
        <v>389</v>
      </c>
      <c r="C141" t="s">
        <v>1143</v>
      </c>
      <c r="E141" t="s">
        <v>234</v>
      </c>
      <c r="F141">
        <v>2</v>
      </c>
      <c r="I141">
        <v>765.47065380531</v>
      </c>
      <c r="J141">
        <v>300</v>
      </c>
      <c r="K141">
        <v>300</v>
      </c>
      <c r="L141">
        <v>1530.94130761062</v>
      </c>
      <c r="M141">
        <v>600</v>
      </c>
      <c r="N141">
        <v>600</v>
      </c>
      <c r="P141" s="3" t="s">
        <v>391</v>
      </c>
    </row>
    <row r="142" ht="40.5" spans="1:16">
      <c r="A142" s="2">
        <v>140</v>
      </c>
      <c r="B142" s="2" t="s">
        <v>392</v>
      </c>
      <c r="C142" t="s">
        <v>1144</v>
      </c>
      <c r="D142" s="3" t="s">
        <v>1145</v>
      </c>
      <c r="E142" t="s">
        <v>1146</v>
      </c>
      <c r="F142">
        <v>2</v>
      </c>
      <c r="I142">
        <v>3654.85284</v>
      </c>
      <c r="J142">
        <v>2700</v>
      </c>
      <c r="K142">
        <v>0</v>
      </c>
      <c r="L142">
        <v>7309.70568</v>
      </c>
      <c r="M142">
        <v>5400</v>
      </c>
      <c r="N142">
        <v>0</v>
      </c>
      <c r="P142" s="3" t="s">
        <v>396</v>
      </c>
    </row>
    <row r="143" spans="1:16">
      <c r="A143" s="2">
        <v>141</v>
      </c>
      <c r="B143" s="2" t="s">
        <v>397</v>
      </c>
      <c r="C143" t="s">
        <v>1147</v>
      </c>
      <c r="D143" s="3" t="s">
        <v>1148</v>
      </c>
      <c r="E143" t="s">
        <v>1146</v>
      </c>
      <c r="F143">
        <v>2</v>
      </c>
      <c r="I143">
        <v>3113.39316</v>
      </c>
      <c r="J143">
        <v>2300</v>
      </c>
      <c r="K143">
        <v>0</v>
      </c>
      <c r="L143">
        <v>6226.78632</v>
      </c>
      <c r="M143">
        <v>4600</v>
      </c>
      <c r="N143">
        <v>0</v>
      </c>
      <c r="P143" s="3" t="s">
        <v>79</v>
      </c>
    </row>
    <row r="144" ht="40.5" spans="1:16">
      <c r="A144" s="2">
        <v>142</v>
      </c>
      <c r="B144" s="2" t="s">
        <v>400</v>
      </c>
      <c r="C144" t="s">
        <v>1149</v>
      </c>
      <c r="D144" s="3" t="s">
        <v>1150</v>
      </c>
      <c r="E144" t="s">
        <v>1146</v>
      </c>
      <c r="F144">
        <v>4</v>
      </c>
      <c r="I144">
        <v>676.8246</v>
      </c>
      <c r="J144">
        <v>300</v>
      </c>
      <c r="K144">
        <v>200</v>
      </c>
      <c r="L144">
        <v>2707.2984</v>
      </c>
      <c r="M144">
        <v>1200</v>
      </c>
      <c r="N144">
        <v>800</v>
      </c>
      <c r="P144" s="3" t="s">
        <v>403</v>
      </c>
    </row>
    <row r="145" spans="1:16">
      <c r="A145" s="2">
        <v>143</v>
      </c>
      <c r="B145" s="2">
        <v>6</v>
      </c>
      <c r="C145" t="s">
        <v>1151</v>
      </c>
      <c r="I145">
        <v>0</v>
      </c>
      <c r="J145">
        <v>0</v>
      </c>
      <c r="K145">
        <v>0</v>
      </c>
      <c r="L145">
        <v>671715.637309381</v>
      </c>
      <c r="M145">
        <v>263900</v>
      </c>
      <c r="N145">
        <v>219100</v>
      </c>
    </row>
    <row r="146" spans="1:16">
      <c r="A146" s="2">
        <v>144</v>
      </c>
      <c r="B146" s="2" t="s">
        <v>405</v>
      </c>
      <c r="C146" t="s">
        <v>1123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</row>
    <row r="147" ht="67.5" spans="1:16">
      <c r="A147" s="2">
        <v>145</v>
      </c>
      <c r="B147" s="2" t="s">
        <v>406</v>
      </c>
      <c r="C147" t="s">
        <v>407</v>
      </c>
      <c r="E147" t="s">
        <v>263</v>
      </c>
      <c r="F147">
        <v>1</v>
      </c>
      <c r="I147">
        <v>1353.6492</v>
      </c>
      <c r="J147">
        <v>0</v>
      </c>
      <c r="K147">
        <v>1000</v>
      </c>
      <c r="L147">
        <v>1353.6492</v>
      </c>
      <c r="M147">
        <v>0</v>
      </c>
      <c r="N147">
        <v>1000</v>
      </c>
      <c r="P147" s="3" t="s">
        <v>408</v>
      </c>
    </row>
    <row r="148" spans="1:16">
      <c r="A148" s="2">
        <v>146</v>
      </c>
      <c r="B148" s="2" t="s">
        <v>409</v>
      </c>
      <c r="C148" t="s">
        <v>410</v>
      </c>
      <c r="E148" t="s">
        <v>263</v>
      </c>
      <c r="F148">
        <v>2</v>
      </c>
      <c r="I148">
        <v>1353.6492</v>
      </c>
      <c r="J148">
        <v>0</v>
      </c>
      <c r="K148">
        <v>1000</v>
      </c>
      <c r="L148">
        <v>2707.2984</v>
      </c>
      <c r="M148">
        <v>0</v>
      </c>
      <c r="N148">
        <v>2000</v>
      </c>
      <c r="P148" s="3" t="s">
        <v>79</v>
      </c>
    </row>
    <row r="149" ht="54" spans="1:16">
      <c r="A149" s="2">
        <v>147</v>
      </c>
      <c r="B149" s="2" t="s">
        <v>411</v>
      </c>
      <c r="C149" t="s">
        <v>412</v>
      </c>
      <c r="E149" t="s">
        <v>263</v>
      </c>
      <c r="F149">
        <v>2</v>
      </c>
      <c r="I149">
        <v>406.09476</v>
      </c>
      <c r="J149">
        <v>0</v>
      </c>
      <c r="K149">
        <v>300</v>
      </c>
      <c r="L149">
        <v>812.18952</v>
      </c>
      <c r="M149">
        <v>0</v>
      </c>
      <c r="N149">
        <v>600</v>
      </c>
      <c r="P149" s="3" t="s">
        <v>328</v>
      </c>
    </row>
    <row r="150" spans="1:16">
      <c r="A150" s="2">
        <v>148</v>
      </c>
      <c r="B150" s="2" t="s">
        <v>413</v>
      </c>
      <c r="C150" t="s">
        <v>414</v>
      </c>
      <c r="E150" t="s">
        <v>263</v>
      </c>
      <c r="F150">
        <v>1</v>
      </c>
      <c r="I150">
        <v>676.8246</v>
      </c>
      <c r="J150">
        <v>0</v>
      </c>
      <c r="K150">
        <v>500</v>
      </c>
      <c r="L150">
        <v>676.8246</v>
      </c>
      <c r="M150">
        <v>0</v>
      </c>
      <c r="N150">
        <v>500</v>
      </c>
      <c r="P150" s="3" t="s">
        <v>79</v>
      </c>
    </row>
    <row r="151" spans="1:16">
      <c r="A151" s="2">
        <v>149</v>
      </c>
      <c r="B151" s="2" t="s">
        <v>415</v>
      </c>
      <c r="C151" t="s">
        <v>416</v>
      </c>
      <c r="E151" t="s">
        <v>263</v>
      </c>
      <c r="F151">
        <v>2</v>
      </c>
      <c r="I151">
        <v>676.8246</v>
      </c>
      <c r="J151">
        <v>0</v>
      </c>
      <c r="K151">
        <v>500</v>
      </c>
      <c r="L151">
        <v>1353.6492</v>
      </c>
      <c r="M151">
        <v>0</v>
      </c>
      <c r="N151">
        <v>1000</v>
      </c>
      <c r="P151" s="3" t="s">
        <v>79</v>
      </c>
    </row>
    <row r="152" spans="1:16">
      <c r="A152" s="2">
        <v>150</v>
      </c>
      <c r="B152" s="2" t="s">
        <v>417</v>
      </c>
      <c r="C152" t="s">
        <v>1152</v>
      </c>
      <c r="D152" s="3" t="s">
        <v>419</v>
      </c>
      <c r="E152" t="s">
        <v>230</v>
      </c>
      <c r="F152">
        <v>2</v>
      </c>
      <c r="I152">
        <v>4060.9476</v>
      </c>
      <c r="J152">
        <v>0</v>
      </c>
      <c r="K152">
        <v>3000</v>
      </c>
      <c r="L152">
        <v>8121.8952</v>
      </c>
      <c r="M152">
        <v>0</v>
      </c>
      <c r="N152">
        <v>6000</v>
      </c>
      <c r="P152" s="3" t="s">
        <v>79</v>
      </c>
    </row>
    <row r="153" spans="1:16">
      <c r="A153" s="2">
        <v>151</v>
      </c>
      <c r="B153" s="2" t="s">
        <v>420</v>
      </c>
      <c r="C153" t="s">
        <v>1152</v>
      </c>
      <c r="D153" s="3" t="s">
        <v>421</v>
      </c>
      <c r="E153" t="s">
        <v>230</v>
      </c>
      <c r="F153">
        <v>2</v>
      </c>
      <c r="I153">
        <v>4060.9476</v>
      </c>
      <c r="J153">
        <v>0</v>
      </c>
      <c r="K153">
        <v>3000</v>
      </c>
      <c r="L153">
        <v>8121.8952</v>
      </c>
      <c r="M153">
        <v>0</v>
      </c>
      <c r="N153">
        <v>6000</v>
      </c>
      <c r="P153" s="3" t="s">
        <v>79</v>
      </c>
    </row>
    <row r="154" spans="1:16">
      <c r="A154" s="2">
        <v>152</v>
      </c>
      <c r="B154" s="2" t="s">
        <v>422</v>
      </c>
      <c r="C154" t="s">
        <v>1152</v>
      </c>
      <c r="D154" s="3" t="s">
        <v>423</v>
      </c>
      <c r="E154" t="s">
        <v>230</v>
      </c>
      <c r="F154">
        <v>2</v>
      </c>
      <c r="I154">
        <v>2707.2984</v>
      </c>
      <c r="J154">
        <v>0</v>
      </c>
      <c r="K154">
        <v>2000</v>
      </c>
      <c r="L154">
        <v>5414.5968</v>
      </c>
      <c r="M154">
        <v>0</v>
      </c>
      <c r="N154">
        <v>4000</v>
      </c>
      <c r="P154" s="3" t="s">
        <v>79</v>
      </c>
    </row>
    <row r="155" spans="1:16">
      <c r="A155" s="2">
        <v>153</v>
      </c>
      <c r="B155" s="2" t="s">
        <v>424</v>
      </c>
      <c r="C155" t="s">
        <v>1153</v>
      </c>
      <c r="D155" s="3" t="s">
        <v>1154</v>
      </c>
      <c r="E155" t="s">
        <v>263</v>
      </c>
      <c r="F155">
        <v>1</v>
      </c>
      <c r="I155">
        <v>27072.984</v>
      </c>
      <c r="J155">
        <v>0</v>
      </c>
      <c r="K155">
        <v>20000</v>
      </c>
      <c r="L155">
        <v>27072.984</v>
      </c>
      <c r="M155">
        <v>0</v>
      </c>
      <c r="N155">
        <v>20000</v>
      </c>
      <c r="P155" s="3" t="s">
        <v>79</v>
      </c>
    </row>
    <row r="156" spans="1:16">
      <c r="A156" s="2">
        <v>154</v>
      </c>
      <c r="B156" s="2" t="s">
        <v>427</v>
      </c>
      <c r="C156" t="s">
        <v>1155</v>
      </c>
      <c r="D156" s="3" t="s">
        <v>429</v>
      </c>
      <c r="E156" t="s">
        <v>263</v>
      </c>
      <c r="F156">
        <v>2</v>
      </c>
      <c r="I156">
        <v>4060.9476</v>
      </c>
      <c r="J156">
        <v>0</v>
      </c>
      <c r="K156">
        <v>3000</v>
      </c>
      <c r="L156">
        <v>8121.8952</v>
      </c>
      <c r="M156">
        <v>0</v>
      </c>
      <c r="N156">
        <v>6000</v>
      </c>
      <c r="P156" s="3" t="s">
        <v>79</v>
      </c>
    </row>
    <row r="157" spans="1:16">
      <c r="A157" s="2">
        <v>155</v>
      </c>
      <c r="B157" s="2" t="s">
        <v>430</v>
      </c>
      <c r="C157" t="s">
        <v>1155</v>
      </c>
      <c r="D157" s="3" t="s">
        <v>431</v>
      </c>
      <c r="E157" t="s">
        <v>263</v>
      </c>
      <c r="F157">
        <v>1</v>
      </c>
      <c r="I157">
        <v>4060.9476</v>
      </c>
      <c r="J157">
        <v>0</v>
      </c>
      <c r="K157">
        <v>3000</v>
      </c>
      <c r="L157">
        <v>4060.9476</v>
      </c>
      <c r="M157">
        <v>0</v>
      </c>
      <c r="N157">
        <v>3000</v>
      </c>
      <c r="P157" s="3" t="s">
        <v>79</v>
      </c>
    </row>
    <row r="158" spans="1:16">
      <c r="A158" s="2">
        <v>156</v>
      </c>
      <c r="B158" s="2">
        <v>6.2</v>
      </c>
      <c r="C158" t="s">
        <v>1129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</row>
    <row r="159" ht="54" spans="1:16">
      <c r="A159" s="2">
        <v>157</v>
      </c>
      <c r="B159" s="2" t="s">
        <v>432</v>
      </c>
      <c r="C159" t="s">
        <v>433</v>
      </c>
      <c r="D159" s="3" t="s">
        <v>1156</v>
      </c>
      <c r="E159" t="s">
        <v>64</v>
      </c>
      <c r="F159">
        <v>65</v>
      </c>
      <c r="I159">
        <v>9290.73557522124</v>
      </c>
      <c r="J159">
        <v>4060</v>
      </c>
      <c r="K159">
        <v>2600</v>
      </c>
      <c r="L159">
        <v>603897.812389381</v>
      </c>
      <c r="M159">
        <v>263900</v>
      </c>
      <c r="N159">
        <v>169000</v>
      </c>
      <c r="P159" s="3" t="s">
        <v>435</v>
      </c>
    </row>
    <row r="160" spans="1:16">
      <c r="A160" s="2">
        <v>158</v>
      </c>
      <c r="B160" s="2">
        <v>7</v>
      </c>
      <c r="C160" t="s">
        <v>1157</v>
      </c>
      <c r="I160">
        <v>0</v>
      </c>
      <c r="J160">
        <v>0</v>
      </c>
      <c r="K160">
        <v>0</v>
      </c>
      <c r="L160">
        <v>1085578.98394715</v>
      </c>
      <c r="M160">
        <v>299805</v>
      </c>
      <c r="N160">
        <v>479773</v>
      </c>
    </row>
    <row r="161" spans="1:16">
      <c r="A161" s="2">
        <v>159</v>
      </c>
      <c r="B161" s="2" t="s">
        <v>439</v>
      </c>
      <c r="C161" t="s">
        <v>1123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</row>
    <row r="162" ht="40.5" spans="1:16">
      <c r="A162" s="2">
        <v>160</v>
      </c>
      <c r="B162" s="2" t="s">
        <v>440</v>
      </c>
      <c r="C162" t="s">
        <v>1158</v>
      </c>
      <c r="E162" t="s">
        <v>263</v>
      </c>
      <c r="F162">
        <v>2</v>
      </c>
      <c r="I162">
        <v>1084.986</v>
      </c>
      <c r="J162">
        <v>0</v>
      </c>
      <c r="K162">
        <v>800</v>
      </c>
      <c r="L162">
        <v>2169.972</v>
      </c>
      <c r="M162">
        <v>0</v>
      </c>
      <c r="N162">
        <v>1600</v>
      </c>
      <c r="P162" s="3" t="s">
        <v>442</v>
      </c>
    </row>
    <row r="163" spans="1:16">
      <c r="A163" s="2">
        <v>161</v>
      </c>
      <c r="B163" s="2" t="s">
        <v>443</v>
      </c>
      <c r="C163" t="s">
        <v>1159</v>
      </c>
      <c r="E163" t="s">
        <v>263</v>
      </c>
      <c r="F163">
        <v>27</v>
      </c>
      <c r="I163">
        <v>1084.986</v>
      </c>
      <c r="J163">
        <v>0</v>
      </c>
      <c r="K163">
        <v>800</v>
      </c>
      <c r="L163">
        <v>29294.622</v>
      </c>
      <c r="M163">
        <v>0</v>
      </c>
      <c r="N163">
        <v>21600</v>
      </c>
      <c r="P163" s="3" t="s">
        <v>79</v>
      </c>
    </row>
    <row r="164" spans="1:16">
      <c r="A164" s="2">
        <v>162</v>
      </c>
      <c r="B164" s="2" t="s">
        <v>445</v>
      </c>
      <c r="C164" t="s">
        <v>1160</v>
      </c>
      <c r="E164" t="s">
        <v>263</v>
      </c>
      <c r="F164">
        <v>6</v>
      </c>
      <c r="I164">
        <v>678.11625</v>
      </c>
      <c r="J164">
        <v>0</v>
      </c>
      <c r="K164">
        <v>500</v>
      </c>
      <c r="L164">
        <v>4068.6975</v>
      </c>
      <c r="M164">
        <v>0</v>
      </c>
      <c r="N164">
        <v>3000</v>
      </c>
      <c r="P164" s="3" t="s">
        <v>79</v>
      </c>
    </row>
    <row r="165" spans="1:16">
      <c r="A165" s="2">
        <v>163</v>
      </c>
      <c r="B165" s="2" t="s">
        <v>447</v>
      </c>
      <c r="C165" t="s">
        <v>1161</v>
      </c>
      <c r="E165" t="s">
        <v>230</v>
      </c>
      <c r="F165">
        <v>36</v>
      </c>
      <c r="I165">
        <v>678.11625</v>
      </c>
      <c r="J165">
        <v>0</v>
      </c>
      <c r="K165">
        <v>500</v>
      </c>
      <c r="L165">
        <v>24412.185</v>
      </c>
      <c r="M165">
        <v>0</v>
      </c>
      <c r="N165">
        <v>18000</v>
      </c>
      <c r="P165" s="3" t="s">
        <v>79</v>
      </c>
    </row>
    <row r="166" spans="1:16">
      <c r="A166" s="2">
        <v>164</v>
      </c>
      <c r="B166" s="2" t="s">
        <v>449</v>
      </c>
      <c r="C166" t="s">
        <v>1162</v>
      </c>
      <c r="E166" t="s">
        <v>263</v>
      </c>
      <c r="F166">
        <v>2</v>
      </c>
      <c r="I166">
        <v>678.11625</v>
      </c>
      <c r="J166">
        <v>0</v>
      </c>
      <c r="K166">
        <v>500</v>
      </c>
      <c r="L166">
        <v>1356.2325</v>
      </c>
      <c r="M166">
        <v>0</v>
      </c>
      <c r="N166">
        <v>1000</v>
      </c>
      <c r="P166" s="3" t="s">
        <v>79</v>
      </c>
    </row>
    <row r="167" spans="1:16">
      <c r="A167" s="2">
        <v>165</v>
      </c>
      <c r="B167" s="2" t="s">
        <v>451</v>
      </c>
      <c r="C167" t="s">
        <v>1163</v>
      </c>
      <c r="E167" t="s">
        <v>230</v>
      </c>
      <c r="F167">
        <v>29</v>
      </c>
      <c r="I167">
        <v>271.2465</v>
      </c>
      <c r="J167">
        <v>0</v>
      </c>
      <c r="K167">
        <v>200</v>
      </c>
      <c r="L167">
        <v>7866.1485</v>
      </c>
      <c r="M167">
        <v>0</v>
      </c>
      <c r="N167">
        <v>5800</v>
      </c>
      <c r="P167" s="3" t="s">
        <v>79</v>
      </c>
    </row>
    <row r="168" spans="1:16">
      <c r="A168" s="2">
        <v>166</v>
      </c>
      <c r="B168" s="2" t="s">
        <v>453</v>
      </c>
      <c r="C168" t="s">
        <v>1164</v>
      </c>
      <c r="E168" t="s">
        <v>230</v>
      </c>
      <c r="F168">
        <v>8</v>
      </c>
      <c r="I168">
        <v>271.2465</v>
      </c>
      <c r="J168">
        <v>0</v>
      </c>
      <c r="K168">
        <v>200</v>
      </c>
      <c r="L168">
        <v>2169.972</v>
      </c>
      <c r="M168">
        <v>0</v>
      </c>
      <c r="N168">
        <v>1600</v>
      </c>
      <c r="P168" s="3" t="s">
        <v>79</v>
      </c>
    </row>
    <row r="169" spans="1:16">
      <c r="A169" s="2">
        <v>167</v>
      </c>
      <c r="B169" s="2" t="s">
        <v>455</v>
      </c>
      <c r="C169" t="s">
        <v>1165</v>
      </c>
      <c r="E169" t="s">
        <v>230</v>
      </c>
      <c r="F169">
        <v>12</v>
      </c>
      <c r="I169">
        <v>271.2465</v>
      </c>
      <c r="J169">
        <v>0</v>
      </c>
      <c r="K169">
        <v>200</v>
      </c>
      <c r="L169">
        <v>3254.958</v>
      </c>
      <c r="M169">
        <v>0</v>
      </c>
      <c r="N169">
        <v>2400</v>
      </c>
      <c r="P169" s="3" t="s">
        <v>79</v>
      </c>
    </row>
    <row r="170" spans="1:16">
      <c r="A170" s="2">
        <v>168</v>
      </c>
      <c r="B170" s="2" t="s">
        <v>457</v>
      </c>
      <c r="C170" t="s">
        <v>1166</v>
      </c>
      <c r="E170" t="s">
        <v>230</v>
      </c>
      <c r="F170">
        <v>7</v>
      </c>
      <c r="I170">
        <v>271.2465</v>
      </c>
      <c r="J170">
        <v>0</v>
      </c>
      <c r="K170">
        <v>200</v>
      </c>
      <c r="L170">
        <v>1898.7255</v>
      </c>
      <c r="M170">
        <v>0</v>
      </c>
      <c r="N170">
        <v>1400</v>
      </c>
      <c r="P170" s="3" t="s">
        <v>79</v>
      </c>
    </row>
    <row r="171" spans="1:16">
      <c r="A171" s="2">
        <v>169</v>
      </c>
      <c r="B171" s="2" t="s">
        <v>459</v>
      </c>
      <c r="C171" t="s">
        <v>1167</v>
      </c>
      <c r="E171" t="s">
        <v>230</v>
      </c>
      <c r="F171">
        <v>1</v>
      </c>
      <c r="I171">
        <v>271.2465</v>
      </c>
      <c r="J171">
        <v>0</v>
      </c>
      <c r="K171">
        <v>200</v>
      </c>
      <c r="L171">
        <v>271.2465</v>
      </c>
      <c r="M171">
        <v>0</v>
      </c>
      <c r="N171">
        <v>200</v>
      </c>
      <c r="P171" s="3" t="s">
        <v>79</v>
      </c>
    </row>
    <row r="172" spans="1:16">
      <c r="A172" s="2">
        <v>170</v>
      </c>
      <c r="B172" s="2" t="s">
        <v>461</v>
      </c>
      <c r="C172" t="s">
        <v>1168</v>
      </c>
      <c r="E172" t="s">
        <v>234</v>
      </c>
      <c r="F172">
        <v>1</v>
      </c>
      <c r="I172">
        <v>2712.465</v>
      </c>
      <c r="J172">
        <v>0</v>
      </c>
      <c r="K172">
        <v>2000</v>
      </c>
      <c r="L172">
        <v>2712.465</v>
      </c>
      <c r="M172">
        <v>0</v>
      </c>
      <c r="N172">
        <v>2000</v>
      </c>
      <c r="P172" s="3" t="s">
        <v>79</v>
      </c>
    </row>
    <row r="173" spans="1:16">
      <c r="A173" s="2">
        <v>171</v>
      </c>
      <c r="B173" s="2" t="s">
        <v>463</v>
      </c>
      <c r="C173" t="s">
        <v>1169</v>
      </c>
      <c r="E173" t="s">
        <v>230</v>
      </c>
      <c r="F173">
        <v>4</v>
      </c>
      <c r="I173">
        <v>678.11625</v>
      </c>
      <c r="J173">
        <v>0</v>
      </c>
      <c r="K173">
        <v>500</v>
      </c>
      <c r="L173">
        <v>2712.465</v>
      </c>
      <c r="M173">
        <v>0</v>
      </c>
      <c r="N173">
        <v>2000</v>
      </c>
      <c r="P173" s="3" t="s">
        <v>79</v>
      </c>
    </row>
    <row r="174" ht="27" spans="1:16">
      <c r="A174" s="2">
        <v>172</v>
      </c>
      <c r="B174" s="2" t="s">
        <v>465</v>
      </c>
      <c r="C174" t="s">
        <v>1170</v>
      </c>
      <c r="D174" s="3" t="s">
        <v>1171</v>
      </c>
      <c r="E174" t="s">
        <v>468</v>
      </c>
      <c r="F174">
        <v>240</v>
      </c>
      <c r="I174">
        <v>691.318513274336</v>
      </c>
      <c r="J174">
        <v>350</v>
      </c>
      <c r="K174">
        <v>100</v>
      </c>
      <c r="L174">
        <v>165916.443185841</v>
      </c>
      <c r="M174">
        <v>84000</v>
      </c>
      <c r="N174">
        <v>24000</v>
      </c>
      <c r="P174" s="3" t="s">
        <v>469</v>
      </c>
    </row>
    <row r="175" spans="1:16">
      <c r="A175" s="2">
        <v>173</v>
      </c>
      <c r="B175" s="2">
        <v>7.2</v>
      </c>
      <c r="C175" t="s">
        <v>1129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</row>
    <row r="176" ht="27" spans="1:16">
      <c r="A176" s="2">
        <v>174</v>
      </c>
      <c r="B176" s="2" t="s">
        <v>470</v>
      </c>
      <c r="C176" t="s">
        <v>1172</v>
      </c>
      <c r="D176" s="3" t="s">
        <v>472</v>
      </c>
      <c r="E176" t="s">
        <v>468</v>
      </c>
      <c r="F176">
        <v>221</v>
      </c>
      <c r="I176">
        <v>6.18142161</v>
      </c>
      <c r="K176">
        <v>4</v>
      </c>
      <c r="L176">
        <v>1366.09417581</v>
      </c>
      <c r="M176">
        <v>0</v>
      </c>
      <c r="N176">
        <v>884</v>
      </c>
      <c r="P176" s="3" t="s">
        <v>629</v>
      </c>
    </row>
    <row r="177" spans="1:16">
      <c r="A177" s="2">
        <v>175</v>
      </c>
      <c r="B177" s="2" t="s">
        <v>474</v>
      </c>
      <c r="C177" t="s">
        <v>1172</v>
      </c>
      <c r="D177" s="3" t="s">
        <v>475</v>
      </c>
      <c r="E177" t="s">
        <v>468</v>
      </c>
      <c r="F177">
        <v>74</v>
      </c>
      <c r="I177">
        <v>6.300300825</v>
      </c>
      <c r="K177">
        <v>4</v>
      </c>
      <c r="L177">
        <v>466.22226105</v>
      </c>
      <c r="M177">
        <v>0</v>
      </c>
      <c r="N177">
        <v>296</v>
      </c>
      <c r="P177" s="3" t="s">
        <v>79</v>
      </c>
    </row>
    <row r="178" spans="1:16">
      <c r="A178" s="2">
        <v>176</v>
      </c>
      <c r="B178" s="2" t="s">
        <v>476</v>
      </c>
      <c r="C178" t="s">
        <v>1173</v>
      </c>
      <c r="D178" s="3" t="s">
        <v>478</v>
      </c>
      <c r="E178" t="s">
        <v>468</v>
      </c>
      <c r="F178">
        <v>1656</v>
      </c>
      <c r="I178">
        <v>6.054210435</v>
      </c>
      <c r="K178">
        <v>4</v>
      </c>
      <c r="L178">
        <v>10025.77248036</v>
      </c>
      <c r="M178">
        <v>0</v>
      </c>
      <c r="N178">
        <v>6624</v>
      </c>
      <c r="P178" s="3" t="s">
        <v>79</v>
      </c>
    </row>
    <row r="179" spans="1:16">
      <c r="A179" s="2">
        <v>177</v>
      </c>
      <c r="B179" s="2" t="s">
        <v>479</v>
      </c>
      <c r="C179" t="s">
        <v>1173</v>
      </c>
      <c r="D179" s="3" t="s">
        <v>480</v>
      </c>
      <c r="E179" t="s">
        <v>468</v>
      </c>
      <c r="F179">
        <v>552</v>
      </c>
      <c r="I179">
        <v>6.09750687</v>
      </c>
      <c r="K179">
        <v>4</v>
      </c>
      <c r="L179">
        <v>3365.82379224</v>
      </c>
      <c r="M179">
        <v>0</v>
      </c>
      <c r="N179">
        <v>2208</v>
      </c>
      <c r="P179" s="3" t="s">
        <v>79</v>
      </c>
    </row>
    <row r="180" spans="1:16">
      <c r="A180" s="2">
        <v>178</v>
      </c>
      <c r="B180" s="2" t="s">
        <v>481</v>
      </c>
      <c r="C180" t="s">
        <v>1173</v>
      </c>
      <c r="D180" s="3" t="s">
        <v>482</v>
      </c>
      <c r="E180" t="s">
        <v>468</v>
      </c>
      <c r="F180">
        <v>110</v>
      </c>
      <c r="I180">
        <v>6.1061364</v>
      </c>
      <c r="K180">
        <v>4</v>
      </c>
      <c r="L180">
        <v>671.675004</v>
      </c>
      <c r="M180">
        <v>0</v>
      </c>
      <c r="N180">
        <v>440</v>
      </c>
      <c r="P180" s="3" t="s">
        <v>79</v>
      </c>
    </row>
    <row r="181" spans="1:16">
      <c r="A181" s="2">
        <v>179</v>
      </c>
      <c r="B181" s="2" t="s">
        <v>483</v>
      </c>
      <c r="C181" t="s">
        <v>1173</v>
      </c>
      <c r="D181" s="3" t="s">
        <v>484</v>
      </c>
      <c r="E181" t="s">
        <v>468</v>
      </c>
      <c r="F181">
        <v>110</v>
      </c>
      <c r="I181">
        <v>8.0076087</v>
      </c>
      <c r="K181">
        <v>5</v>
      </c>
      <c r="L181">
        <v>880.836957</v>
      </c>
      <c r="M181">
        <v>0</v>
      </c>
      <c r="N181">
        <v>550</v>
      </c>
      <c r="P181" s="3" t="s">
        <v>79</v>
      </c>
    </row>
    <row r="182" spans="1:16">
      <c r="A182" s="2">
        <v>180</v>
      </c>
      <c r="B182" s="2" t="s">
        <v>485</v>
      </c>
      <c r="C182" t="s">
        <v>1173</v>
      </c>
      <c r="D182" s="3" t="s">
        <v>486</v>
      </c>
      <c r="E182" t="s">
        <v>468</v>
      </c>
      <c r="F182">
        <v>37</v>
      </c>
      <c r="I182">
        <v>16.47793875</v>
      </c>
      <c r="K182">
        <v>10</v>
      </c>
      <c r="L182">
        <v>609.68373375</v>
      </c>
      <c r="M182">
        <v>0</v>
      </c>
      <c r="N182">
        <v>370</v>
      </c>
      <c r="P182" s="3" t="s">
        <v>79</v>
      </c>
    </row>
    <row r="183" spans="1:16">
      <c r="A183" s="2">
        <v>181</v>
      </c>
      <c r="B183" s="2" t="s">
        <v>487</v>
      </c>
      <c r="C183" t="s">
        <v>1173</v>
      </c>
      <c r="D183" s="3" t="s">
        <v>480</v>
      </c>
      <c r="E183" t="s">
        <v>468</v>
      </c>
      <c r="F183">
        <v>337</v>
      </c>
      <c r="I183">
        <v>6.09750687</v>
      </c>
      <c r="K183">
        <v>4</v>
      </c>
      <c r="L183">
        <v>2054.85981519</v>
      </c>
      <c r="M183">
        <v>0</v>
      </c>
      <c r="N183">
        <v>1348</v>
      </c>
      <c r="P183" s="3" t="s">
        <v>79</v>
      </c>
    </row>
    <row r="184" spans="1:16">
      <c r="A184" s="2">
        <v>182</v>
      </c>
      <c r="B184" s="2" t="s">
        <v>488</v>
      </c>
      <c r="C184" t="s">
        <v>1173</v>
      </c>
      <c r="D184" s="3" t="s">
        <v>489</v>
      </c>
      <c r="E184" t="s">
        <v>468</v>
      </c>
      <c r="F184">
        <v>276</v>
      </c>
      <c r="I184">
        <v>6.17308965</v>
      </c>
      <c r="K184">
        <v>4</v>
      </c>
      <c r="L184">
        <v>1703.7727434</v>
      </c>
      <c r="M184">
        <v>0</v>
      </c>
      <c r="N184">
        <v>1104</v>
      </c>
      <c r="P184" s="3" t="s">
        <v>79</v>
      </c>
    </row>
    <row r="185" spans="1:16">
      <c r="A185" s="2">
        <v>183</v>
      </c>
      <c r="B185" s="2" t="s">
        <v>490</v>
      </c>
      <c r="C185" t="s">
        <v>1173</v>
      </c>
      <c r="D185" s="3" t="s">
        <v>472</v>
      </c>
      <c r="E185" t="s">
        <v>468</v>
      </c>
      <c r="F185">
        <v>690</v>
      </c>
      <c r="I185">
        <v>6.1418448</v>
      </c>
      <c r="K185">
        <v>4</v>
      </c>
      <c r="L185">
        <v>4237.872912</v>
      </c>
      <c r="M185">
        <v>0</v>
      </c>
      <c r="N185">
        <v>2760</v>
      </c>
      <c r="P185" s="3" t="s">
        <v>79</v>
      </c>
    </row>
    <row r="186" spans="1:16">
      <c r="A186" s="2">
        <v>184</v>
      </c>
      <c r="B186" s="2" t="s">
        <v>491</v>
      </c>
      <c r="C186" t="s">
        <v>1173</v>
      </c>
      <c r="D186" s="3" t="s">
        <v>475</v>
      </c>
      <c r="E186" t="s">
        <v>468</v>
      </c>
      <c r="F186">
        <v>386</v>
      </c>
      <c r="I186">
        <v>7.7308686</v>
      </c>
      <c r="K186">
        <v>5</v>
      </c>
      <c r="L186">
        <v>2984.1152796</v>
      </c>
      <c r="M186">
        <v>0</v>
      </c>
      <c r="N186">
        <v>1930</v>
      </c>
      <c r="P186" s="3" t="s">
        <v>79</v>
      </c>
    </row>
    <row r="187" spans="1:16">
      <c r="A187" s="2">
        <v>185</v>
      </c>
      <c r="B187" s="2" t="s">
        <v>492</v>
      </c>
      <c r="C187" t="s">
        <v>1173</v>
      </c>
      <c r="D187" s="3" t="s">
        <v>493</v>
      </c>
      <c r="E187" t="s">
        <v>468</v>
      </c>
      <c r="F187">
        <v>184</v>
      </c>
      <c r="I187">
        <v>7.7993097</v>
      </c>
      <c r="K187">
        <v>5</v>
      </c>
      <c r="L187">
        <v>1435.0729848</v>
      </c>
      <c r="M187">
        <v>0</v>
      </c>
      <c r="N187">
        <v>920</v>
      </c>
      <c r="P187" s="3" t="s">
        <v>79</v>
      </c>
    </row>
    <row r="188" spans="1:16">
      <c r="A188" s="2">
        <v>186</v>
      </c>
      <c r="B188" s="2" t="s">
        <v>494</v>
      </c>
      <c r="C188" t="s">
        <v>1173</v>
      </c>
      <c r="D188" s="3" t="s">
        <v>495</v>
      </c>
      <c r="E188" t="s">
        <v>468</v>
      </c>
      <c r="F188">
        <v>258</v>
      </c>
      <c r="I188">
        <v>7.96743675</v>
      </c>
      <c r="K188">
        <v>5</v>
      </c>
      <c r="L188">
        <v>2055.5986815</v>
      </c>
      <c r="M188">
        <v>0</v>
      </c>
      <c r="N188">
        <v>1290</v>
      </c>
      <c r="P188" s="3" t="s">
        <v>79</v>
      </c>
    </row>
    <row r="189" spans="1:16">
      <c r="A189" s="2">
        <v>187</v>
      </c>
      <c r="B189" s="2" t="s">
        <v>496</v>
      </c>
      <c r="C189" t="s">
        <v>1173</v>
      </c>
      <c r="D189" s="3" t="s">
        <v>497</v>
      </c>
      <c r="E189" t="s">
        <v>468</v>
      </c>
      <c r="F189">
        <v>110</v>
      </c>
      <c r="I189">
        <v>9.462726</v>
      </c>
      <c r="K189">
        <v>6</v>
      </c>
      <c r="L189">
        <v>1040.89986</v>
      </c>
      <c r="M189">
        <v>0</v>
      </c>
      <c r="N189">
        <v>660</v>
      </c>
      <c r="P189" s="3" t="s">
        <v>79</v>
      </c>
    </row>
    <row r="190" spans="1:16">
      <c r="A190" s="2">
        <v>188</v>
      </c>
      <c r="B190" s="2" t="s">
        <v>498</v>
      </c>
      <c r="C190" t="s">
        <v>1173</v>
      </c>
      <c r="D190" s="3" t="s">
        <v>499</v>
      </c>
      <c r="E190" t="s">
        <v>468</v>
      </c>
      <c r="F190">
        <v>18</v>
      </c>
      <c r="I190">
        <v>11.2540974</v>
      </c>
      <c r="K190">
        <v>7</v>
      </c>
      <c r="L190">
        <v>202.5737532</v>
      </c>
      <c r="M190">
        <v>0</v>
      </c>
      <c r="N190">
        <v>126</v>
      </c>
      <c r="P190" s="3" t="s">
        <v>79</v>
      </c>
    </row>
    <row r="191" spans="1:16">
      <c r="A191" s="2">
        <v>189</v>
      </c>
      <c r="B191" s="2" t="s">
        <v>500</v>
      </c>
      <c r="C191" t="s">
        <v>1173</v>
      </c>
      <c r="D191" s="3" t="s">
        <v>501</v>
      </c>
      <c r="E191" t="s">
        <v>468</v>
      </c>
      <c r="F191">
        <v>74</v>
      </c>
      <c r="I191">
        <v>11.2927815</v>
      </c>
      <c r="K191">
        <v>7</v>
      </c>
      <c r="L191">
        <v>835.665831</v>
      </c>
      <c r="M191">
        <v>0</v>
      </c>
      <c r="N191">
        <v>518</v>
      </c>
      <c r="P191" s="3" t="s">
        <v>79</v>
      </c>
    </row>
    <row r="192" spans="1:16">
      <c r="A192" s="2">
        <v>190</v>
      </c>
      <c r="B192" s="2" t="s">
        <v>502</v>
      </c>
      <c r="C192" t="s">
        <v>1173</v>
      </c>
      <c r="D192" s="3" t="s">
        <v>503</v>
      </c>
      <c r="E192" t="s">
        <v>468</v>
      </c>
      <c r="F192">
        <v>18</v>
      </c>
      <c r="I192">
        <v>13.28798835</v>
      </c>
      <c r="K192">
        <v>8</v>
      </c>
      <c r="L192">
        <v>239.1837903</v>
      </c>
      <c r="M192">
        <v>0</v>
      </c>
      <c r="N192">
        <v>144</v>
      </c>
      <c r="P192" s="3" t="s">
        <v>79</v>
      </c>
    </row>
    <row r="193" spans="1:16">
      <c r="A193" s="2">
        <v>191</v>
      </c>
      <c r="B193" s="2" t="s">
        <v>504</v>
      </c>
      <c r="C193" t="s">
        <v>1173</v>
      </c>
      <c r="D193" s="3" t="s">
        <v>505</v>
      </c>
      <c r="E193" t="s">
        <v>468</v>
      </c>
      <c r="F193">
        <v>138</v>
      </c>
      <c r="I193">
        <v>16.43627895</v>
      </c>
      <c r="K193">
        <v>10</v>
      </c>
      <c r="L193">
        <v>2268.2064951</v>
      </c>
      <c r="M193">
        <v>0</v>
      </c>
      <c r="N193">
        <v>1380</v>
      </c>
      <c r="P193" s="3" t="s">
        <v>79</v>
      </c>
    </row>
    <row r="194" spans="1:16">
      <c r="A194" s="2">
        <v>192</v>
      </c>
      <c r="B194" s="2" t="s">
        <v>506</v>
      </c>
      <c r="C194" t="s">
        <v>1173</v>
      </c>
      <c r="D194" s="3" t="s">
        <v>507</v>
      </c>
      <c r="E194" t="s">
        <v>468</v>
      </c>
      <c r="F194">
        <v>267</v>
      </c>
      <c r="I194">
        <v>17.1816918</v>
      </c>
      <c r="K194">
        <v>10</v>
      </c>
      <c r="L194">
        <v>4587.5117106</v>
      </c>
      <c r="M194">
        <v>0</v>
      </c>
      <c r="N194">
        <v>2670</v>
      </c>
      <c r="P194" s="3" t="s">
        <v>79</v>
      </c>
    </row>
    <row r="195" spans="1:16">
      <c r="A195" s="2">
        <v>193</v>
      </c>
      <c r="B195" s="2" t="s">
        <v>508</v>
      </c>
      <c r="C195" t="s">
        <v>1173</v>
      </c>
      <c r="D195" s="3" t="s">
        <v>509</v>
      </c>
      <c r="E195" t="s">
        <v>468</v>
      </c>
      <c r="F195">
        <v>442</v>
      </c>
      <c r="I195">
        <v>17.6548281</v>
      </c>
      <c r="K195">
        <v>10.5</v>
      </c>
      <c r="L195">
        <v>7803.4340202</v>
      </c>
      <c r="M195">
        <v>0</v>
      </c>
      <c r="N195">
        <v>4641</v>
      </c>
      <c r="P195" s="3" t="s">
        <v>79</v>
      </c>
    </row>
    <row r="196" spans="1:16">
      <c r="A196" s="2">
        <v>194</v>
      </c>
      <c r="B196" s="2" t="s">
        <v>510</v>
      </c>
      <c r="C196" t="s">
        <v>1173</v>
      </c>
      <c r="D196" s="3" t="s">
        <v>511</v>
      </c>
      <c r="E196" t="s">
        <v>468</v>
      </c>
      <c r="F196">
        <v>74</v>
      </c>
      <c r="I196">
        <v>24.60755115</v>
      </c>
      <c r="K196">
        <v>15</v>
      </c>
      <c r="L196">
        <v>1820.9587851</v>
      </c>
      <c r="M196">
        <v>0</v>
      </c>
      <c r="N196">
        <v>1110</v>
      </c>
      <c r="P196" s="3" t="s">
        <v>79</v>
      </c>
    </row>
    <row r="197" spans="1:16">
      <c r="A197" s="2">
        <v>195</v>
      </c>
      <c r="B197" s="2" t="s">
        <v>512</v>
      </c>
      <c r="C197" t="s">
        <v>1173</v>
      </c>
      <c r="D197" s="3" t="s">
        <v>513</v>
      </c>
      <c r="E197" t="s">
        <v>468</v>
      </c>
      <c r="F197">
        <v>534</v>
      </c>
      <c r="I197">
        <v>33.303290475</v>
      </c>
      <c r="K197">
        <v>20</v>
      </c>
      <c r="L197">
        <v>17783.95711365</v>
      </c>
      <c r="M197">
        <v>0</v>
      </c>
      <c r="N197">
        <v>10680</v>
      </c>
      <c r="P197" s="3" t="s">
        <v>79</v>
      </c>
    </row>
    <row r="198" spans="1:16">
      <c r="A198" s="2">
        <v>196</v>
      </c>
      <c r="B198" s="2" t="s">
        <v>514</v>
      </c>
      <c r="C198" t="s">
        <v>1173</v>
      </c>
      <c r="D198" s="3" t="s">
        <v>515</v>
      </c>
      <c r="E198" t="s">
        <v>468</v>
      </c>
      <c r="F198">
        <v>2576</v>
      </c>
      <c r="I198">
        <v>42.3590895</v>
      </c>
      <c r="K198">
        <v>25</v>
      </c>
      <c r="L198">
        <v>109117.014552</v>
      </c>
      <c r="M198">
        <v>0</v>
      </c>
      <c r="N198">
        <v>64400</v>
      </c>
      <c r="P198" s="3" t="s">
        <v>79</v>
      </c>
    </row>
    <row r="199" spans="1:16">
      <c r="A199" s="2">
        <v>197</v>
      </c>
      <c r="B199" s="2" t="s">
        <v>516</v>
      </c>
      <c r="C199" t="s">
        <v>1174</v>
      </c>
      <c r="D199" s="3" t="s">
        <v>472</v>
      </c>
      <c r="E199" t="s">
        <v>468</v>
      </c>
      <c r="F199">
        <v>55</v>
      </c>
      <c r="I199">
        <v>6.10167285</v>
      </c>
      <c r="K199">
        <v>4</v>
      </c>
      <c r="L199">
        <v>335.59200675</v>
      </c>
      <c r="M199">
        <v>0</v>
      </c>
      <c r="N199">
        <v>220</v>
      </c>
      <c r="P199" s="3" t="s">
        <v>79</v>
      </c>
    </row>
    <row r="200" spans="1:16">
      <c r="A200" s="2">
        <v>198</v>
      </c>
      <c r="B200" s="2" t="s">
        <v>518</v>
      </c>
      <c r="C200" t="s">
        <v>1175</v>
      </c>
      <c r="D200" s="3" t="s">
        <v>472</v>
      </c>
      <c r="E200" t="s">
        <v>468</v>
      </c>
      <c r="F200">
        <v>2429</v>
      </c>
      <c r="I200">
        <v>6.10167285</v>
      </c>
      <c r="K200">
        <v>4</v>
      </c>
      <c r="L200">
        <v>14820.96335265</v>
      </c>
      <c r="M200">
        <v>0</v>
      </c>
      <c r="N200">
        <v>9716</v>
      </c>
      <c r="P200" s="3" t="s">
        <v>79</v>
      </c>
    </row>
    <row r="201" spans="1:16">
      <c r="A201" s="2">
        <v>199</v>
      </c>
      <c r="B201" s="2" t="s">
        <v>520</v>
      </c>
      <c r="C201" t="s">
        <v>1175</v>
      </c>
      <c r="D201" s="3" t="s">
        <v>521</v>
      </c>
      <c r="E201" t="s">
        <v>468</v>
      </c>
      <c r="F201">
        <v>534</v>
      </c>
      <c r="I201">
        <v>6.14035695</v>
      </c>
      <c r="K201">
        <v>4</v>
      </c>
      <c r="L201">
        <v>3278.9506113</v>
      </c>
      <c r="M201">
        <v>0</v>
      </c>
      <c r="N201">
        <v>2136</v>
      </c>
      <c r="P201" s="3" t="s">
        <v>79</v>
      </c>
    </row>
    <row r="202" spans="1:16">
      <c r="A202" s="2">
        <v>200</v>
      </c>
      <c r="B202" s="2" t="s">
        <v>522</v>
      </c>
      <c r="C202" t="s">
        <v>1175</v>
      </c>
      <c r="D202" s="3" t="s">
        <v>475</v>
      </c>
      <c r="E202" t="s">
        <v>468</v>
      </c>
      <c r="F202">
        <v>368</v>
      </c>
      <c r="I202">
        <v>7.6713546</v>
      </c>
      <c r="K202">
        <v>5</v>
      </c>
      <c r="L202">
        <v>2823.0584928</v>
      </c>
      <c r="M202">
        <v>0</v>
      </c>
      <c r="N202">
        <v>1840</v>
      </c>
      <c r="P202" s="3" t="s">
        <v>79</v>
      </c>
    </row>
    <row r="203" spans="1:16">
      <c r="A203" s="2">
        <v>201</v>
      </c>
      <c r="B203" s="2" t="s">
        <v>523</v>
      </c>
      <c r="C203" t="s">
        <v>1175</v>
      </c>
      <c r="D203" s="3" t="s">
        <v>493</v>
      </c>
      <c r="E203" t="s">
        <v>468</v>
      </c>
      <c r="F203">
        <v>202</v>
      </c>
      <c r="I203">
        <v>9.21425505</v>
      </c>
      <c r="K203">
        <v>6</v>
      </c>
      <c r="L203">
        <v>1861.2795201</v>
      </c>
      <c r="M203">
        <v>0</v>
      </c>
      <c r="N203">
        <v>1212</v>
      </c>
      <c r="P203" s="3" t="s">
        <v>79</v>
      </c>
    </row>
    <row r="204" spans="1:16">
      <c r="A204" s="2">
        <v>202</v>
      </c>
      <c r="B204" s="2" t="s">
        <v>524</v>
      </c>
      <c r="C204" t="s">
        <v>1175</v>
      </c>
      <c r="D204" s="3" t="s">
        <v>507</v>
      </c>
      <c r="E204" t="s">
        <v>468</v>
      </c>
      <c r="F204">
        <v>552</v>
      </c>
      <c r="I204">
        <v>19.7259153</v>
      </c>
      <c r="K204">
        <v>12</v>
      </c>
      <c r="L204">
        <v>10888.7052456</v>
      </c>
      <c r="M204">
        <v>0</v>
      </c>
      <c r="N204">
        <v>6624</v>
      </c>
      <c r="P204" s="3" t="s">
        <v>79</v>
      </c>
    </row>
    <row r="205" spans="1:16">
      <c r="A205" s="2">
        <v>203</v>
      </c>
      <c r="B205" s="2" t="s">
        <v>525</v>
      </c>
      <c r="C205" t="s">
        <v>1176</v>
      </c>
      <c r="D205" s="3" t="s">
        <v>527</v>
      </c>
      <c r="E205" t="s">
        <v>468</v>
      </c>
      <c r="F205">
        <v>1012</v>
      </c>
      <c r="I205">
        <v>9.233091231</v>
      </c>
      <c r="K205">
        <v>6</v>
      </c>
      <c r="L205">
        <v>9343.888325772</v>
      </c>
      <c r="M205">
        <v>0</v>
      </c>
      <c r="N205">
        <v>6072</v>
      </c>
      <c r="P205" s="3" t="s">
        <v>79</v>
      </c>
    </row>
    <row r="206" spans="1:16">
      <c r="A206" s="2">
        <v>204</v>
      </c>
      <c r="B206" s="2" t="s">
        <v>528</v>
      </c>
      <c r="C206" t="s">
        <v>1176</v>
      </c>
      <c r="D206" s="3" t="s">
        <v>529</v>
      </c>
      <c r="E206" t="s">
        <v>468</v>
      </c>
      <c r="F206">
        <v>184</v>
      </c>
      <c r="I206">
        <v>27.52968855</v>
      </c>
      <c r="K206">
        <v>15</v>
      </c>
      <c r="L206">
        <v>5065.4626932</v>
      </c>
      <c r="M206">
        <v>0</v>
      </c>
      <c r="N206">
        <v>2760</v>
      </c>
      <c r="P206" s="3" t="s">
        <v>79</v>
      </c>
    </row>
    <row r="207" spans="1:16">
      <c r="A207" s="2">
        <v>205</v>
      </c>
      <c r="B207" s="2" t="s">
        <v>530</v>
      </c>
      <c r="C207" t="s">
        <v>1176</v>
      </c>
      <c r="D207" s="3" t="s">
        <v>531</v>
      </c>
      <c r="E207" t="s">
        <v>468</v>
      </c>
      <c r="F207">
        <v>184</v>
      </c>
      <c r="I207">
        <v>23.7047981625</v>
      </c>
      <c r="K207">
        <v>15</v>
      </c>
      <c r="L207">
        <v>4361.6828619</v>
      </c>
      <c r="M207">
        <v>0</v>
      </c>
      <c r="N207">
        <v>2760</v>
      </c>
      <c r="P207" s="3" t="s">
        <v>79</v>
      </c>
    </row>
    <row r="208" spans="1:16">
      <c r="A208" s="2">
        <v>206</v>
      </c>
      <c r="B208" s="2" t="s">
        <v>532</v>
      </c>
      <c r="C208" t="s">
        <v>1176</v>
      </c>
      <c r="D208" s="3" t="s">
        <v>533</v>
      </c>
      <c r="E208" t="s">
        <v>468</v>
      </c>
      <c r="F208">
        <v>184</v>
      </c>
      <c r="I208">
        <v>15.85363689</v>
      </c>
      <c r="K208">
        <v>10</v>
      </c>
      <c r="L208">
        <v>2917.06918776</v>
      </c>
      <c r="M208">
        <v>0</v>
      </c>
      <c r="N208">
        <v>1840</v>
      </c>
      <c r="P208" s="3" t="s">
        <v>79</v>
      </c>
    </row>
    <row r="209" spans="1:16">
      <c r="A209" s="2">
        <v>207</v>
      </c>
      <c r="B209" s="2" t="s">
        <v>534</v>
      </c>
      <c r="C209" t="s">
        <v>1176</v>
      </c>
      <c r="D209" s="3" t="s">
        <v>535</v>
      </c>
      <c r="E209" t="s">
        <v>468</v>
      </c>
      <c r="F209">
        <v>368</v>
      </c>
      <c r="I209">
        <v>38.1633525</v>
      </c>
      <c r="K209">
        <v>20</v>
      </c>
      <c r="L209">
        <v>14044.11372</v>
      </c>
      <c r="M209">
        <v>0</v>
      </c>
      <c r="N209">
        <v>7360</v>
      </c>
      <c r="P209" s="3" t="s">
        <v>79</v>
      </c>
    </row>
    <row r="210" spans="1:16">
      <c r="A210" s="2">
        <v>208</v>
      </c>
      <c r="B210" s="2" t="s">
        <v>536</v>
      </c>
      <c r="C210" t="s">
        <v>1177</v>
      </c>
      <c r="D210" s="3" t="s">
        <v>535</v>
      </c>
      <c r="E210" t="s">
        <v>468</v>
      </c>
      <c r="F210">
        <v>110</v>
      </c>
      <c r="I210">
        <v>38.1633525</v>
      </c>
      <c r="K210">
        <v>20</v>
      </c>
      <c r="L210">
        <v>4197.968775</v>
      </c>
      <c r="M210">
        <v>0</v>
      </c>
      <c r="N210">
        <v>2200</v>
      </c>
      <c r="P210" s="3" t="s">
        <v>79</v>
      </c>
    </row>
    <row r="211" spans="1:16">
      <c r="A211" s="2">
        <v>209</v>
      </c>
      <c r="B211" s="2" t="s">
        <v>538</v>
      </c>
      <c r="C211" t="s">
        <v>539</v>
      </c>
      <c r="D211" s="3" t="s">
        <v>540</v>
      </c>
      <c r="E211" t="s">
        <v>468</v>
      </c>
      <c r="F211">
        <v>543</v>
      </c>
      <c r="I211">
        <v>6.12250275</v>
      </c>
      <c r="K211">
        <v>4</v>
      </c>
      <c r="L211">
        <v>3324.51899325</v>
      </c>
      <c r="M211">
        <v>0</v>
      </c>
      <c r="N211">
        <v>2172</v>
      </c>
      <c r="P211" s="3" t="s">
        <v>79</v>
      </c>
    </row>
    <row r="212" spans="1:16">
      <c r="A212" s="2">
        <v>210</v>
      </c>
      <c r="B212" s="2" t="s">
        <v>541</v>
      </c>
      <c r="C212" t="s">
        <v>539</v>
      </c>
      <c r="D212" s="3" t="s">
        <v>542</v>
      </c>
      <c r="E212" t="s">
        <v>468</v>
      </c>
      <c r="F212">
        <v>228</v>
      </c>
      <c r="I212">
        <v>6.33972885</v>
      </c>
      <c r="K212">
        <v>4</v>
      </c>
      <c r="L212">
        <v>1445.4581778</v>
      </c>
      <c r="M212">
        <v>0</v>
      </c>
      <c r="N212">
        <v>912</v>
      </c>
      <c r="P212" s="3" t="s">
        <v>79</v>
      </c>
    </row>
    <row r="213" spans="1:16">
      <c r="A213" s="2">
        <v>211</v>
      </c>
      <c r="B213" s="2" t="s">
        <v>543</v>
      </c>
      <c r="C213" t="s">
        <v>1178</v>
      </c>
      <c r="D213" s="3" t="s">
        <v>472</v>
      </c>
      <c r="E213" t="s">
        <v>468</v>
      </c>
      <c r="F213">
        <v>386</v>
      </c>
      <c r="I213">
        <v>6.12845415</v>
      </c>
      <c r="K213">
        <v>4</v>
      </c>
      <c r="L213">
        <v>2365.5833019</v>
      </c>
      <c r="M213">
        <v>0</v>
      </c>
      <c r="N213">
        <v>1544</v>
      </c>
      <c r="P213" s="3" t="s">
        <v>79</v>
      </c>
    </row>
    <row r="214" spans="1:16">
      <c r="A214" s="2">
        <v>212</v>
      </c>
      <c r="B214" s="2" t="s">
        <v>545</v>
      </c>
      <c r="C214" t="s">
        <v>1178</v>
      </c>
      <c r="D214" s="3" t="s">
        <v>546</v>
      </c>
      <c r="E214" t="s">
        <v>468</v>
      </c>
      <c r="F214">
        <v>5721</v>
      </c>
      <c r="I214">
        <v>6.07489155</v>
      </c>
      <c r="K214">
        <v>4</v>
      </c>
      <c r="L214">
        <v>34754.45455755</v>
      </c>
      <c r="M214">
        <v>0</v>
      </c>
      <c r="N214">
        <v>22884</v>
      </c>
      <c r="P214" s="3" t="s">
        <v>79</v>
      </c>
    </row>
    <row r="215" spans="1:16">
      <c r="A215" s="2">
        <v>213</v>
      </c>
      <c r="B215" s="2" t="s">
        <v>547</v>
      </c>
      <c r="C215" t="s">
        <v>1178</v>
      </c>
      <c r="D215" s="3" t="s">
        <v>548</v>
      </c>
      <c r="E215" t="s">
        <v>468</v>
      </c>
      <c r="F215">
        <v>3224</v>
      </c>
      <c r="I215">
        <v>7.59249855</v>
      </c>
      <c r="K215">
        <v>5</v>
      </c>
      <c r="L215">
        <v>24478.2153252</v>
      </c>
      <c r="M215">
        <v>0</v>
      </c>
      <c r="N215">
        <v>16120</v>
      </c>
      <c r="P215" s="3" t="s">
        <v>79</v>
      </c>
    </row>
    <row r="216" spans="1:16">
      <c r="A216" s="2">
        <v>214</v>
      </c>
      <c r="B216" s="2" t="s">
        <v>549</v>
      </c>
      <c r="C216" t="s">
        <v>1178</v>
      </c>
      <c r="D216" s="3" t="s">
        <v>550</v>
      </c>
      <c r="E216" t="s">
        <v>468</v>
      </c>
      <c r="F216">
        <v>3485</v>
      </c>
      <c r="I216">
        <v>9.12200835</v>
      </c>
      <c r="K216">
        <v>6</v>
      </c>
      <c r="L216">
        <v>31790.19909975</v>
      </c>
      <c r="M216">
        <v>0</v>
      </c>
      <c r="N216">
        <v>20910</v>
      </c>
      <c r="P216" s="3" t="s">
        <v>79</v>
      </c>
    </row>
    <row r="217" spans="1:16">
      <c r="A217" s="2">
        <v>215</v>
      </c>
      <c r="B217" s="2" t="s">
        <v>551</v>
      </c>
      <c r="C217" t="s">
        <v>1178</v>
      </c>
      <c r="D217" s="3" t="s">
        <v>552</v>
      </c>
      <c r="E217" t="s">
        <v>468</v>
      </c>
      <c r="F217">
        <v>1058</v>
      </c>
      <c r="I217">
        <v>6.2281401</v>
      </c>
      <c r="K217">
        <v>4</v>
      </c>
      <c r="L217">
        <v>6589.3722258</v>
      </c>
      <c r="M217">
        <v>0</v>
      </c>
      <c r="N217">
        <v>4232</v>
      </c>
      <c r="P217" s="3" t="s">
        <v>79</v>
      </c>
    </row>
    <row r="218" spans="1:16">
      <c r="A218" s="2">
        <v>216</v>
      </c>
      <c r="B218" s="2" t="s">
        <v>553</v>
      </c>
      <c r="C218" t="s">
        <v>1178</v>
      </c>
      <c r="D218" s="3" t="s">
        <v>554</v>
      </c>
      <c r="E218" t="s">
        <v>468</v>
      </c>
      <c r="F218">
        <v>672</v>
      </c>
      <c r="I218">
        <v>6.2757513</v>
      </c>
      <c r="K218">
        <v>4</v>
      </c>
      <c r="L218">
        <v>4217.3048736</v>
      </c>
      <c r="M218">
        <v>0</v>
      </c>
      <c r="N218">
        <v>2688</v>
      </c>
      <c r="P218" s="3" t="s">
        <v>79</v>
      </c>
    </row>
    <row r="219" spans="1:16">
      <c r="A219" s="2">
        <v>217</v>
      </c>
      <c r="B219" s="2" t="s">
        <v>555</v>
      </c>
      <c r="C219" t="s">
        <v>1178</v>
      </c>
      <c r="D219" s="3" t="s">
        <v>556</v>
      </c>
      <c r="E219" t="s">
        <v>468</v>
      </c>
      <c r="F219">
        <v>166</v>
      </c>
      <c r="I219">
        <v>6.3174111</v>
      </c>
      <c r="K219">
        <v>4</v>
      </c>
      <c r="L219">
        <v>1048.6902426</v>
      </c>
      <c r="M219">
        <v>0</v>
      </c>
      <c r="N219">
        <v>664</v>
      </c>
      <c r="P219" s="3" t="s">
        <v>79</v>
      </c>
    </row>
    <row r="220" spans="1:16">
      <c r="A220" s="2">
        <v>218</v>
      </c>
      <c r="B220" s="2" t="s">
        <v>557</v>
      </c>
      <c r="C220" t="s">
        <v>1178</v>
      </c>
      <c r="D220" s="3" t="s">
        <v>558</v>
      </c>
      <c r="E220" t="s">
        <v>468</v>
      </c>
      <c r="F220">
        <v>294</v>
      </c>
      <c r="I220">
        <v>7.84840875</v>
      </c>
      <c r="K220">
        <v>5</v>
      </c>
      <c r="L220">
        <v>2307.4321725</v>
      </c>
      <c r="M220">
        <v>0</v>
      </c>
      <c r="N220">
        <v>1470</v>
      </c>
      <c r="P220" s="3" t="s">
        <v>79</v>
      </c>
    </row>
    <row r="221" spans="1:16">
      <c r="A221" s="2">
        <v>219</v>
      </c>
      <c r="B221" s="2" t="s">
        <v>559</v>
      </c>
      <c r="C221" t="s">
        <v>1178</v>
      </c>
      <c r="D221" s="3" t="s">
        <v>560</v>
      </c>
      <c r="E221" t="s">
        <v>468</v>
      </c>
      <c r="F221">
        <v>331</v>
      </c>
      <c r="I221">
        <v>7.9242891</v>
      </c>
      <c r="K221">
        <v>5</v>
      </c>
      <c r="L221">
        <v>2622.9396921</v>
      </c>
      <c r="M221">
        <v>0</v>
      </c>
      <c r="N221">
        <v>1655</v>
      </c>
      <c r="P221" s="3" t="s">
        <v>79</v>
      </c>
    </row>
    <row r="222" spans="1:16">
      <c r="A222" s="2">
        <v>220</v>
      </c>
      <c r="B222" s="2" t="s">
        <v>561</v>
      </c>
      <c r="C222" t="s">
        <v>1178</v>
      </c>
      <c r="D222" s="3" t="s">
        <v>562</v>
      </c>
      <c r="E222" t="s">
        <v>468</v>
      </c>
      <c r="F222">
        <v>129</v>
      </c>
      <c r="I222">
        <v>8.08348905</v>
      </c>
      <c r="K222">
        <v>5</v>
      </c>
      <c r="L222">
        <v>1042.77008745</v>
      </c>
      <c r="M222">
        <v>0</v>
      </c>
      <c r="N222">
        <v>645</v>
      </c>
      <c r="P222" s="3" t="s">
        <v>79</v>
      </c>
    </row>
    <row r="223" spans="1:16">
      <c r="A223" s="2">
        <v>221</v>
      </c>
      <c r="B223" s="2" t="s">
        <v>563</v>
      </c>
      <c r="C223" t="s">
        <v>1179</v>
      </c>
      <c r="D223" s="3" t="s">
        <v>472</v>
      </c>
      <c r="E223" t="s">
        <v>468</v>
      </c>
      <c r="F223">
        <v>228</v>
      </c>
      <c r="I223">
        <v>6.1477962</v>
      </c>
      <c r="K223">
        <v>4</v>
      </c>
      <c r="L223">
        <v>1401.6975336</v>
      </c>
      <c r="M223">
        <v>0</v>
      </c>
      <c r="N223">
        <v>912</v>
      </c>
      <c r="P223" s="3" t="s">
        <v>79</v>
      </c>
    </row>
    <row r="224" spans="1:16">
      <c r="A224" s="2">
        <v>222</v>
      </c>
      <c r="B224" s="2" t="s">
        <v>565</v>
      </c>
      <c r="C224" t="s">
        <v>1179</v>
      </c>
      <c r="D224" s="3" t="s">
        <v>521</v>
      </c>
      <c r="E224" t="s">
        <v>468</v>
      </c>
      <c r="F224">
        <v>276</v>
      </c>
      <c r="I224">
        <v>7.68176955</v>
      </c>
      <c r="K224">
        <v>5</v>
      </c>
      <c r="L224">
        <v>2120.1683958</v>
      </c>
      <c r="M224">
        <v>0</v>
      </c>
      <c r="N224">
        <v>1380</v>
      </c>
      <c r="P224" s="3" t="s">
        <v>79</v>
      </c>
    </row>
    <row r="225" spans="1:16">
      <c r="A225" s="2">
        <v>223</v>
      </c>
      <c r="B225" s="2" t="s">
        <v>566</v>
      </c>
      <c r="C225" t="s">
        <v>1179</v>
      </c>
      <c r="D225" s="3" t="s">
        <v>567</v>
      </c>
      <c r="E225" t="s">
        <v>468</v>
      </c>
      <c r="F225">
        <v>265</v>
      </c>
      <c r="I225">
        <v>9.2633541</v>
      </c>
      <c r="K225">
        <v>6</v>
      </c>
      <c r="L225">
        <v>2454.7888365</v>
      </c>
      <c r="M225">
        <v>0</v>
      </c>
      <c r="N225">
        <v>1590</v>
      </c>
      <c r="P225" s="3" t="s">
        <v>79</v>
      </c>
    </row>
    <row r="226" spans="1:16">
      <c r="A226" s="2">
        <v>224</v>
      </c>
      <c r="B226" s="2" t="s">
        <v>568</v>
      </c>
      <c r="C226" t="s">
        <v>1179</v>
      </c>
      <c r="D226" s="3" t="s">
        <v>569</v>
      </c>
      <c r="E226" t="s">
        <v>468</v>
      </c>
      <c r="F226">
        <v>37</v>
      </c>
      <c r="I226">
        <v>6.42899985</v>
      </c>
      <c r="K226">
        <v>4</v>
      </c>
      <c r="L226">
        <v>237.87299445</v>
      </c>
      <c r="M226">
        <v>0</v>
      </c>
      <c r="N226">
        <v>148</v>
      </c>
      <c r="P226" s="3" t="s">
        <v>79</v>
      </c>
    </row>
    <row r="227" spans="1:16">
      <c r="A227" s="2">
        <v>225</v>
      </c>
      <c r="B227" s="2" t="s">
        <v>570</v>
      </c>
      <c r="C227" t="s">
        <v>1179</v>
      </c>
      <c r="D227" s="3" t="s">
        <v>546</v>
      </c>
      <c r="E227" t="s">
        <v>468</v>
      </c>
      <c r="F227">
        <v>350</v>
      </c>
      <c r="I227">
        <v>6.07608183</v>
      </c>
      <c r="K227">
        <v>4</v>
      </c>
      <c r="L227">
        <v>2126.6286405</v>
      </c>
      <c r="M227">
        <v>0</v>
      </c>
      <c r="N227">
        <v>1400</v>
      </c>
      <c r="P227" s="3" t="s">
        <v>79</v>
      </c>
    </row>
    <row r="228" spans="1:16">
      <c r="A228" s="2">
        <v>226</v>
      </c>
      <c r="B228" s="2" t="s">
        <v>571</v>
      </c>
      <c r="C228" t="s">
        <v>1179</v>
      </c>
      <c r="D228" s="3" t="s">
        <v>548</v>
      </c>
      <c r="E228" t="s">
        <v>468</v>
      </c>
      <c r="F228">
        <v>294</v>
      </c>
      <c r="I228">
        <v>7.5939864</v>
      </c>
      <c r="K228">
        <v>5</v>
      </c>
      <c r="L228">
        <v>2232.6320016</v>
      </c>
      <c r="M228">
        <v>0</v>
      </c>
      <c r="N228">
        <v>1470</v>
      </c>
      <c r="P228" s="3" t="s">
        <v>79</v>
      </c>
    </row>
    <row r="229" spans="1:16">
      <c r="A229" s="2">
        <v>227</v>
      </c>
      <c r="B229" s="2" t="s">
        <v>572</v>
      </c>
      <c r="C229" t="s">
        <v>1179</v>
      </c>
      <c r="D229" s="3" t="s">
        <v>550</v>
      </c>
      <c r="E229" t="s">
        <v>468</v>
      </c>
      <c r="F229">
        <v>147</v>
      </c>
      <c r="I229">
        <v>9.1383747</v>
      </c>
      <c r="K229">
        <v>6</v>
      </c>
      <c r="L229">
        <v>1343.3410809</v>
      </c>
      <c r="M229">
        <v>0</v>
      </c>
      <c r="N229">
        <v>882</v>
      </c>
      <c r="P229" s="3" t="s">
        <v>79</v>
      </c>
    </row>
    <row r="230" spans="1:16">
      <c r="A230" s="2">
        <v>228</v>
      </c>
      <c r="B230" s="2" t="s">
        <v>573</v>
      </c>
      <c r="C230" t="s">
        <v>1179</v>
      </c>
      <c r="D230" s="3" t="s">
        <v>554</v>
      </c>
      <c r="E230" t="s">
        <v>468</v>
      </c>
      <c r="F230">
        <v>202</v>
      </c>
      <c r="I230">
        <v>9.28567185</v>
      </c>
      <c r="K230">
        <v>6</v>
      </c>
      <c r="L230">
        <v>1875.7057137</v>
      </c>
      <c r="M230">
        <v>0</v>
      </c>
      <c r="N230">
        <v>1212</v>
      </c>
      <c r="P230" s="3" t="s">
        <v>79</v>
      </c>
    </row>
    <row r="231" spans="1:16">
      <c r="A231" s="2">
        <v>229</v>
      </c>
      <c r="B231" s="2" t="s">
        <v>574</v>
      </c>
      <c r="C231" t="s">
        <v>1179</v>
      </c>
      <c r="D231" s="3" t="s">
        <v>556</v>
      </c>
      <c r="E231" t="s">
        <v>468</v>
      </c>
      <c r="F231">
        <v>745</v>
      </c>
      <c r="I231">
        <v>9.34221015</v>
      </c>
      <c r="K231">
        <v>6</v>
      </c>
      <c r="L231">
        <v>6959.94656175</v>
      </c>
      <c r="M231">
        <v>0</v>
      </c>
      <c r="N231">
        <v>4470</v>
      </c>
      <c r="P231" s="3" t="s">
        <v>79</v>
      </c>
    </row>
    <row r="232" spans="1:16">
      <c r="A232" s="2">
        <v>230</v>
      </c>
      <c r="B232" s="2" t="s">
        <v>575</v>
      </c>
      <c r="C232" t="s">
        <v>1179</v>
      </c>
      <c r="D232" s="3" t="s">
        <v>558</v>
      </c>
      <c r="E232" t="s">
        <v>468</v>
      </c>
      <c r="F232">
        <v>239</v>
      </c>
      <c r="I232">
        <v>9.4002363</v>
      </c>
      <c r="K232">
        <v>6</v>
      </c>
      <c r="L232">
        <v>2246.6564757</v>
      </c>
      <c r="M232">
        <v>0</v>
      </c>
      <c r="N232">
        <v>1434</v>
      </c>
      <c r="P232" s="3" t="s">
        <v>79</v>
      </c>
    </row>
    <row r="233" spans="1:16">
      <c r="A233" s="2">
        <v>231</v>
      </c>
      <c r="B233" s="2" t="s">
        <v>576</v>
      </c>
      <c r="C233" t="s">
        <v>1179</v>
      </c>
      <c r="D233" s="3" t="s">
        <v>560</v>
      </c>
      <c r="E233" t="s">
        <v>468</v>
      </c>
      <c r="F233">
        <v>129</v>
      </c>
      <c r="I233">
        <v>9.48504375</v>
      </c>
      <c r="K233">
        <v>6</v>
      </c>
      <c r="L233">
        <v>1223.57064375</v>
      </c>
      <c r="M233">
        <v>0</v>
      </c>
      <c r="N233">
        <v>774</v>
      </c>
      <c r="P233" s="3" t="s">
        <v>79</v>
      </c>
    </row>
    <row r="234" spans="1:16">
      <c r="A234" s="2">
        <v>232</v>
      </c>
      <c r="B234" s="2" t="s">
        <v>577</v>
      </c>
      <c r="C234" t="s">
        <v>1179</v>
      </c>
      <c r="D234" s="3" t="s">
        <v>562</v>
      </c>
      <c r="E234" t="s">
        <v>468</v>
      </c>
      <c r="F234">
        <v>261</v>
      </c>
      <c r="I234">
        <v>9.63382875</v>
      </c>
      <c r="K234">
        <v>6</v>
      </c>
      <c r="L234">
        <v>2514.42930375</v>
      </c>
      <c r="M234">
        <v>0</v>
      </c>
      <c r="N234">
        <v>1566</v>
      </c>
      <c r="P234" s="3" t="s">
        <v>79</v>
      </c>
    </row>
    <row r="235" spans="1:16">
      <c r="A235" s="2">
        <v>233</v>
      </c>
      <c r="B235" s="2" t="s">
        <v>578</v>
      </c>
      <c r="C235" t="s">
        <v>1180</v>
      </c>
      <c r="D235" s="3" t="s">
        <v>552</v>
      </c>
      <c r="E235" t="s">
        <v>468</v>
      </c>
      <c r="F235">
        <v>322</v>
      </c>
      <c r="I235">
        <v>9.37494285</v>
      </c>
      <c r="K235">
        <v>6</v>
      </c>
      <c r="L235">
        <v>3018.7315977</v>
      </c>
      <c r="M235">
        <v>0</v>
      </c>
      <c r="N235">
        <v>1932</v>
      </c>
      <c r="P235" s="3" t="s">
        <v>79</v>
      </c>
    </row>
    <row r="236" spans="1:16">
      <c r="A236" s="2">
        <v>234</v>
      </c>
      <c r="B236" s="2" t="s">
        <v>580</v>
      </c>
      <c r="C236" t="s">
        <v>1180</v>
      </c>
      <c r="D236" s="3" t="s">
        <v>554</v>
      </c>
      <c r="E236" t="s">
        <v>468</v>
      </c>
      <c r="F236">
        <v>166</v>
      </c>
      <c r="I236">
        <v>7.9480947</v>
      </c>
      <c r="K236">
        <v>5</v>
      </c>
      <c r="L236">
        <v>1319.3837202</v>
      </c>
      <c r="M236">
        <v>0</v>
      </c>
      <c r="N236">
        <v>830</v>
      </c>
      <c r="P236" s="3" t="s">
        <v>79</v>
      </c>
    </row>
    <row r="237" spans="1:16">
      <c r="A237" s="2">
        <v>235</v>
      </c>
      <c r="B237" s="2" t="s">
        <v>581</v>
      </c>
      <c r="C237" t="s">
        <v>1180</v>
      </c>
      <c r="D237" s="3" t="s">
        <v>562</v>
      </c>
      <c r="E237" t="s">
        <v>468</v>
      </c>
      <c r="F237">
        <v>322</v>
      </c>
      <c r="I237">
        <v>8.3587413</v>
      </c>
      <c r="K237">
        <v>5</v>
      </c>
      <c r="L237">
        <v>2691.5146986</v>
      </c>
      <c r="M237">
        <v>0</v>
      </c>
      <c r="N237">
        <v>1610</v>
      </c>
      <c r="P237" s="3" t="s">
        <v>79</v>
      </c>
    </row>
    <row r="238" spans="1:16">
      <c r="A238" s="2">
        <v>236</v>
      </c>
      <c r="B238" s="2" t="s">
        <v>582</v>
      </c>
      <c r="C238" t="s">
        <v>1180</v>
      </c>
      <c r="D238" s="3" t="s">
        <v>548</v>
      </c>
      <c r="E238" t="s">
        <v>468</v>
      </c>
      <c r="F238">
        <v>506</v>
      </c>
      <c r="I238">
        <v>6.18201675</v>
      </c>
      <c r="K238">
        <v>4</v>
      </c>
      <c r="L238">
        <v>3128.1004755</v>
      </c>
      <c r="M238">
        <v>0</v>
      </c>
      <c r="N238">
        <v>2024</v>
      </c>
      <c r="P238" s="3" t="s">
        <v>79</v>
      </c>
    </row>
    <row r="239" spans="1:16">
      <c r="A239" s="2">
        <v>237</v>
      </c>
      <c r="B239" s="2" t="s">
        <v>583</v>
      </c>
      <c r="C239" t="s">
        <v>1180</v>
      </c>
      <c r="D239" s="3" t="s">
        <v>550</v>
      </c>
      <c r="E239" t="s">
        <v>468</v>
      </c>
      <c r="F239">
        <v>506</v>
      </c>
      <c r="I239">
        <v>6.24748215</v>
      </c>
      <c r="K239">
        <v>4</v>
      </c>
      <c r="L239">
        <v>3161.2259679</v>
      </c>
      <c r="M239">
        <v>0</v>
      </c>
      <c r="N239">
        <v>2024</v>
      </c>
      <c r="P239" s="3" t="s">
        <v>79</v>
      </c>
    </row>
    <row r="240" spans="1:16">
      <c r="A240" s="2">
        <v>238</v>
      </c>
      <c r="B240" s="2" t="s">
        <v>584</v>
      </c>
      <c r="C240" t="s">
        <v>1181</v>
      </c>
      <c r="D240" s="3" t="s">
        <v>586</v>
      </c>
      <c r="E240" t="s">
        <v>468</v>
      </c>
      <c r="F240">
        <v>276</v>
      </c>
      <c r="I240">
        <v>6.058971555</v>
      </c>
      <c r="K240">
        <v>4</v>
      </c>
      <c r="L240">
        <v>1672.27614918</v>
      </c>
      <c r="M240">
        <v>0</v>
      </c>
      <c r="N240">
        <v>1104</v>
      </c>
      <c r="P240" s="3" t="s">
        <v>79</v>
      </c>
    </row>
    <row r="241" spans="1:16">
      <c r="A241" s="2">
        <v>239</v>
      </c>
      <c r="B241" s="2" t="s">
        <v>587</v>
      </c>
      <c r="C241" t="s">
        <v>1182</v>
      </c>
      <c r="E241" t="s">
        <v>468</v>
      </c>
      <c r="F241">
        <v>883</v>
      </c>
      <c r="I241">
        <v>6.047961465</v>
      </c>
      <c r="K241">
        <v>4</v>
      </c>
      <c r="L241">
        <v>5340.349973595</v>
      </c>
      <c r="M241">
        <v>0</v>
      </c>
      <c r="N241">
        <v>3532</v>
      </c>
      <c r="P241" s="3" t="s">
        <v>79</v>
      </c>
    </row>
    <row r="242" ht="27" spans="1:16">
      <c r="A242" s="2">
        <v>240</v>
      </c>
      <c r="B242" s="2" t="s">
        <v>589</v>
      </c>
      <c r="C242" t="s">
        <v>641</v>
      </c>
      <c r="D242" s="3" t="s">
        <v>63</v>
      </c>
      <c r="E242" t="s">
        <v>64</v>
      </c>
      <c r="F242">
        <v>17</v>
      </c>
      <c r="I242">
        <v>11600</v>
      </c>
      <c r="J242">
        <v>6500</v>
      </c>
      <c r="K242">
        <v>4000</v>
      </c>
      <c r="L242">
        <v>197200</v>
      </c>
      <c r="M242">
        <v>110500</v>
      </c>
      <c r="N242">
        <v>68000</v>
      </c>
      <c r="P242" s="3" t="s">
        <v>591</v>
      </c>
    </row>
    <row r="243" ht="27" spans="1:16">
      <c r="A243" s="2">
        <v>241</v>
      </c>
      <c r="B243" s="2" t="s">
        <v>592</v>
      </c>
      <c r="C243" t="s">
        <v>1183</v>
      </c>
      <c r="D243" s="3" t="s">
        <v>63</v>
      </c>
      <c r="E243" t="s">
        <v>64</v>
      </c>
      <c r="F243">
        <v>9</v>
      </c>
      <c r="I243">
        <v>7557.34699115044</v>
      </c>
      <c r="J243">
        <v>3510</v>
      </c>
      <c r="K243">
        <v>2150</v>
      </c>
      <c r="L243">
        <v>68016.122920354</v>
      </c>
      <c r="M243">
        <v>31590</v>
      </c>
      <c r="N243">
        <v>19350</v>
      </c>
      <c r="P243" s="3" t="s">
        <v>594</v>
      </c>
    </row>
    <row r="244" ht="27" spans="1:16">
      <c r="A244" s="2">
        <v>242</v>
      </c>
      <c r="B244" s="2" t="s">
        <v>595</v>
      </c>
      <c r="C244" t="s">
        <v>1141</v>
      </c>
      <c r="D244" s="3" t="s">
        <v>63</v>
      </c>
      <c r="E244" t="s">
        <v>64</v>
      </c>
      <c r="F244">
        <v>8.7</v>
      </c>
      <c r="I244">
        <v>9370.60641039823</v>
      </c>
      <c r="J244">
        <v>4700</v>
      </c>
      <c r="K244">
        <v>2600</v>
      </c>
      <c r="L244">
        <v>81524.2757704646</v>
      </c>
      <c r="M244">
        <v>40890</v>
      </c>
      <c r="N244">
        <v>22620</v>
      </c>
      <c r="P244" s="3" t="s">
        <v>596</v>
      </c>
    </row>
    <row r="245" spans="1:16">
      <c r="A245" s="2">
        <v>243</v>
      </c>
      <c r="B245" s="2" t="s">
        <v>597</v>
      </c>
      <c r="C245" t="s">
        <v>1184</v>
      </c>
      <c r="D245" s="3" t="s">
        <v>599</v>
      </c>
      <c r="E245" t="s">
        <v>468</v>
      </c>
      <c r="F245">
        <v>166</v>
      </c>
      <c r="I245">
        <v>21.95805</v>
      </c>
      <c r="J245">
        <v>2</v>
      </c>
      <c r="K245">
        <v>15</v>
      </c>
      <c r="L245">
        <v>3645.0363</v>
      </c>
      <c r="M245">
        <v>332</v>
      </c>
      <c r="N245">
        <v>2490</v>
      </c>
      <c r="P245" s="3" t="s">
        <v>79</v>
      </c>
    </row>
    <row r="246" ht="27" spans="1:16">
      <c r="A246" s="2">
        <v>244</v>
      </c>
      <c r="B246" s="2" t="s">
        <v>601</v>
      </c>
      <c r="C246" t="s">
        <v>1185</v>
      </c>
      <c r="D246" s="3" t="s">
        <v>603</v>
      </c>
      <c r="E246" t="s">
        <v>468</v>
      </c>
      <c r="F246">
        <v>175</v>
      </c>
      <c r="I246">
        <v>18.9392467699115</v>
      </c>
      <c r="J246">
        <v>9</v>
      </c>
      <c r="K246">
        <v>6</v>
      </c>
      <c r="L246">
        <v>3314.36818473451</v>
      </c>
      <c r="M246">
        <v>1575</v>
      </c>
      <c r="N246">
        <v>1050</v>
      </c>
      <c r="P246" s="3" t="s">
        <v>604</v>
      </c>
    </row>
    <row r="247" spans="1:16">
      <c r="A247" s="2">
        <v>245</v>
      </c>
      <c r="B247" s="2" t="s">
        <v>605</v>
      </c>
      <c r="C247" t="s">
        <v>1185</v>
      </c>
      <c r="D247" s="3" t="s">
        <v>338</v>
      </c>
      <c r="E247" t="s">
        <v>468</v>
      </c>
      <c r="F247">
        <v>147</v>
      </c>
      <c r="I247">
        <v>18.9392467699115</v>
      </c>
      <c r="J247">
        <v>9</v>
      </c>
      <c r="K247">
        <v>6</v>
      </c>
      <c r="L247">
        <v>2784.06927517699</v>
      </c>
      <c r="M247">
        <v>1323</v>
      </c>
      <c r="N247">
        <v>882</v>
      </c>
      <c r="P247" s="3" t="s">
        <v>79</v>
      </c>
    </row>
    <row r="248" spans="1:16">
      <c r="A248" s="2">
        <v>246</v>
      </c>
      <c r="B248" s="2" t="s">
        <v>606</v>
      </c>
      <c r="C248" t="s">
        <v>1185</v>
      </c>
      <c r="D248" s="3" t="s">
        <v>607</v>
      </c>
      <c r="E248" t="s">
        <v>468</v>
      </c>
      <c r="F248">
        <v>18</v>
      </c>
      <c r="I248">
        <v>26.1404812831858</v>
      </c>
      <c r="J248">
        <v>15</v>
      </c>
      <c r="K248">
        <v>6</v>
      </c>
      <c r="L248">
        <v>470.528663097345</v>
      </c>
      <c r="M248">
        <v>270</v>
      </c>
      <c r="N248">
        <v>108</v>
      </c>
      <c r="P248" s="3" t="s">
        <v>79</v>
      </c>
    </row>
    <row r="249" spans="1:16">
      <c r="A249" s="2">
        <v>247</v>
      </c>
      <c r="B249" s="2" t="s">
        <v>608</v>
      </c>
      <c r="C249" t="s">
        <v>1185</v>
      </c>
      <c r="D249" s="3" t="s">
        <v>332</v>
      </c>
      <c r="E249" t="s">
        <v>468</v>
      </c>
      <c r="F249">
        <v>87</v>
      </c>
      <c r="I249">
        <v>37.5664400442478</v>
      </c>
      <c r="J249">
        <v>20</v>
      </c>
      <c r="K249">
        <v>10</v>
      </c>
      <c r="L249">
        <v>3268.28028384956</v>
      </c>
      <c r="M249">
        <v>1740</v>
      </c>
      <c r="N249">
        <v>870</v>
      </c>
      <c r="P249" s="3" t="s">
        <v>79</v>
      </c>
    </row>
    <row r="250" spans="1:16">
      <c r="A250" s="2">
        <v>248</v>
      </c>
      <c r="B250" s="2" t="s">
        <v>609</v>
      </c>
      <c r="C250" t="s">
        <v>1185</v>
      </c>
      <c r="D250" s="3" t="s">
        <v>335</v>
      </c>
      <c r="E250" t="s">
        <v>468</v>
      </c>
      <c r="F250">
        <v>28</v>
      </c>
      <c r="I250">
        <v>69.1318513274336</v>
      </c>
      <c r="J250">
        <v>35</v>
      </c>
      <c r="K250">
        <v>20</v>
      </c>
      <c r="L250">
        <v>1935.69183716814</v>
      </c>
      <c r="M250">
        <v>980</v>
      </c>
      <c r="N250">
        <v>560</v>
      </c>
      <c r="P250" s="3" t="s">
        <v>79</v>
      </c>
    </row>
    <row r="251" spans="1:16">
      <c r="A251" s="2">
        <v>249</v>
      </c>
      <c r="B251" s="2" t="s">
        <v>610</v>
      </c>
      <c r="C251" t="s">
        <v>1185</v>
      </c>
      <c r="D251" s="3" t="s">
        <v>330</v>
      </c>
      <c r="E251" t="s">
        <v>468</v>
      </c>
      <c r="F251">
        <v>28</v>
      </c>
      <c r="I251">
        <v>75.1328800884956</v>
      </c>
      <c r="J251">
        <v>40</v>
      </c>
      <c r="K251">
        <v>20</v>
      </c>
      <c r="L251">
        <v>2103.72064247788</v>
      </c>
      <c r="M251">
        <v>1120</v>
      </c>
      <c r="N251">
        <v>560</v>
      </c>
      <c r="P251" s="3" t="s">
        <v>79</v>
      </c>
    </row>
    <row r="252" ht="27" spans="1:16">
      <c r="A252" s="2">
        <v>250</v>
      </c>
      <c r="B252" s="2" t="s">
        <v>611</v>
      </c>
      <c r="C252" t="s">
        <v>612</v>
      </c>
      <c r="D252" s="3" t="s">
        <v>613</v>
      </c>
      <c r="E252" t="s">
        <v>234</v>
      </c>
      <c r="F252">
        <v>16</v>
      </c>
      <c r="I252">
        <v>471.680860619469</v>
      </c>
      <c r="J252">
        <v>280</v>
      </c>
      <c r="K252">
        <v>100</v>
      </c>
      <c r="L252">
        <v>7546.8937699115</v>
      </c>
      <c r="M252">
        <v>4480</v>
      </c>
      <c r="N252">
        <v>1600</v>
      </c>
      <c r="P252" s="3" t="s">
        <v>614</v>
      </c>
    </row>
    <row r="253" spans="1:16">
      <c r="A253" s="2">
        <v>251</v>
      </c>
      <c r="B253" s="2" t="s">
        <v>615</v>
      </c>
      <c r="C253" t="s">
        <v>616</v>
      </c>
      <c r="D253" s="3" t="s">
        <v>617</v>
      </c>
      <c r="E253" t="s">
        <v>234</v>
      </c>
      <c r="F253">
        <v>147</v>
      </c>
      <c r="I253">
        <v>249.642796460177</v>
      </c>
      <c r="J253">
        <v>95</v>
      </c>
      <c r="K253">
        <v>100</v>
      </c>
      <c r="L253">
        <v>36697.4910796461</v>
      </c>
      <c r="M253">
        <v>13965</v>
      </c>
      <c r="N253">
        <v>14700</v>
      </c>
      <c r="P253" s="3" t="s">
        <v>79</v>
      </c>
    </row>
    <row r="254" spans="1:16">
      <c r="A254" s="2">
        <v>252</v>
      </c>
      <c r="B254" s="2" t="s">
        <v>618</v>
      </c>
      <c r="C254" t="s">
        <v>619</v>
      </c>
      <c r="D254" s="3" t="s">
        <v>620</v>
      </c>
      <c r="E254" t="s">
        <v>234</v>
      </c>
      <c r="F254">
        <v>44</v>
      </c>
      <c r="I254">
        <v>327.656170353982</v>
      </c>
      <c r="J254">
        <v>160</v>
      </c>
      <c r="K254">
        <v>100</v>
      </c>
      <c r="L254">
        <v>14416.8714955752</v>
      </c>
      <c r="M254">
        <v>7040</v>
      </c>
      <c r="N254">
        <v>4400</v>
      </c>
      <c r="P254" s="3" t="s">
        <v>79</v>
      </c>
    </row>
    <row r="255" spans="1:16">
      <c r="A255" s="2">
        <v>253</v>
      </c>
      <c r="B255" s="2">
        <v>8</v>
      </c>
      <c r="C255" t="s">
        <v>1186</v>
      </c>
      <c r="I255">
        <v>0</v>
      </c>
      <c r="J255">
        <v>0</v>
      </c>
      <c r="K255">
        <v>0</v>
      </c>
      <c r="L255">
        <v>142603.455282301</v>
      </c>
      <c r="M255">
        <v>30585</v>
      </c>
      <c r="N255">
        <v>76950</v>
      </c>
    </row>
    <row r="256" spans="1:16">
      <c r="A256" s="2">
        <v>254</v>
      </c>
      <c r="B256" s="2" t="s">
        <v>622</v>
      </c>
      <c r="C256" t="s">
        <v>1123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</row>
    <row r="257" ht="40.5" spans="1:16">
      <c r="A257" s="2">
        <v>255</v>
      </c>
      <c r="B257" s="2" t="s">
        <v>623</v>
      </c>
      <c r="C257" t="s">
        <v>1187</v>
      </c>
      <c r="D257" s="3" t="s">
        <v>1188</v>
      </c>
      <c r="F257">
        <v>1</v>
      </c>
      <c r="I257">
        <v>12987.5</v>
      </c>
      <c r="J257">
        <v>0</v>
      </c>
      <c r="K257">
        <v>10000</v>
      </c>
      <c r="L257">
        <v>12987.5</v>
      </c>
      <c r="M257">
        <v>0</v>
      </c>
      <c r="N257">
        <v>10000</v>
      </c>
      <c r="P257" s="3" t="s">
        <v>442</v>
      </c>
    </row>
    <row r="258" spans="1:16">
      <c r="A258" s="2">
        <v>256</v>
      </c>
      <c r="B258" s="2">
        <v>8.2</v>
      </c>
      <c r="C258" t="s">
        <v>1129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</row>
    <row r="259" ht="27" spans="1:16">
      <c r="A259" s="2">
        <v>257</v>
      </c>
      <c r="B259" s="2" t="s">
        <v>626</v>
      </c>
      <c r="C259" t="s">
        <v>1189</v>
      </c>
      <c r="D259" s="3" t="s">
        <v>628</v>
      </c>
      <c r="E259" t="s">
        <v>468</v>
      </c>
      <c r="F259">
        <v>1380</v>
      </c>
      <c r="I259">
        <v>35.83375</v>
      </c>
      <c r="K259">
        <v>25</v>
      </c>
      <c r="L259">
        <v>49450.575</v>
      </c>
      <c r="M259">
        <v>0</v>
      </c>
      <c r="N259">
        <v>34500</v>
      </c>
      <c r="P259" s="3" t="s">
        <v>629</v>
      </c>
    </row>
    <row r="260" spans="1:16">
      <c r="A260" s="2">
        <v>258</v>
      </c>
      <c r="B260" s="2" t="s">
        <v>630</v>
      </c>
      <c r="C260" t="s">
        <v>1190</v>
      </c>
      <c r="D260" s="3" t="s">
        <v>632</v>
      </c>
      <c r="E260" t="s">
        <v>468</v>
      </c>
      <c r="F260">
        <v>900</v>
      </c>
      <c r="I260">
        <v>6.066177</v>
      </c>
      <c r="K260">
        <v>4</v>
      </c>
      <c r="L260">
        <v>5459.5593</v>
      </c>
      <c r="M260">
        <v>0</v>
      </c>
      <c r="N260">
        <v>3600</v>
      </c>
      <c r="P260" s="3" t="s">
        <v>79</v>
      </c>
    </row>
    <row r="261" spans="1:16">
      <c r="A261" s="2">
        <v>259</v>
      </c>
      <c r="B261" s="2" t="s">
        <v>633</v>
      </c>
      <c r="C261" t="s">
        <v>1190</v>
      </c>
      <c r="D261" s="3" t="s">
        <v>634</v>
      </c>
      <c r="E261" t="s">
        <v>468</v>
      </c>
      <c r="F261">
        <v>1800</v>
      </c>
      <c r="I261">
        <v>7.535606</v>
      </c>
      <c r="K261">
        <v>5</v>
      </c>
      <c r="L261">
        <v>13564.0908</v>
      </c>
      <c r="M261">
        <v>0</v>
      </c>
      <c r="N261">
        <v>9000</v>
      </c>
      <c r="P261" s="3" t="s">
        <v>79</v>
      </c>
    </row>
    <row r="262" spans="1:16">
      <c r="A262" s="2">
        <v>260</v>
      </c>
      <c r="B262" s="2" t="s">
        <v>635</v>
      </c>
      <c r="C262" t="s">
        <v>1190</v>
      </c>
      <c r="D262" s="3" t="s">
        <v>636</v>
      </c>
      <c r="E262" t="s">
        <v>468</v>
      </c>
      <c r="F262">
        <v>450</v>
      </c>
      <c r="I262">
        <v>7.663136</v>
      </c>
      <c r="K262">
        <v>5</v>
      </c>
      <c r="L262">
        <v>3448.4112</v>
      </c>
      <c r="M262">
        <v>0</v>
      </c>
      <c r="N262">
        <v>2250</v>
      </c>
      <c r="P262" s="3" t="s">
        <v>79</v>
      </c>
    </row>
    <row r="263" ht="27" spans="1:16">
      <c r="A263" s="2">
        <v>261</v>
      </c>
      <c r="B263" s="2" t="s">
        <v>637</v>
      </c>
      <c r="C263" t="s">
        <v>1191</v>
      </c>
      <c r="D263" s="3" t="s">
        <v>628</v>
      </c>
      <c r="E263" t="s">
        <v>230</v>
      </c>
      <c r="F263">
        <v>6</v>
      </c>
      <c r="I263">
        <v>1674.57278761062</v>
      </c>
      <c r="J263">
        <v>900</v>
      </c>
      <c r="K263">
        <v>500</v>
      </c>
      <c r="L263">
        <v>10047.4367256637</v>
      </c>
      <c r="M263">
        <v>5400</v>
      </c>
      <c r="N263">
        <v>3000</v>
      </c>
      <c r="P263" s="3" t="s">
        <v>639</v>
      </c>
    </row>
    <row r="264" ht="27" spans="1:16">
      <c r="A264" s="2">
        <v>262</v>
      </c>
      <c r="B264" s="2" t="s">
        <v>640</v>
      </c>
      <c r="C264" t="s">
        <v>641</v>
      </c>
      <c r="D264" s="3" t="s">
        <v>63</v>
      </c>
      <c r="E264" t="s">
        <v>64</v>
      </c>
      <c r="F264">
        <v>3.65</v>
      </c>
      <c r="I264">
        <v>13053.6663716814</v>
      </c>
      <c r="J264">
        <v>6900</v>
      </c>
      <c r="K264">
        <v>4000</v>
      </c>
      <c r="L264">
        <v>47645.8822566371</v>
      </c>
      <c r="M264">
        <v>25185</v>
      </c>
      <c r="N264">
        <v>14600</v>
      </c>
      <c r="P264" s="3" t="s">
        <v>591</v>
      </c>
    </row>
    <row r="265" spans="1:16">
      <c r="A265" s="2">
        <v>263</v>
      </c>
      <c r="B265" s="2">
        <v>9</v>
      </c>
      <c r="C265" t="s">
        <v>1192</v>
      </c>
      <c r="I265">
        <v>0</v>
      </c>
      <c r="J265">
        <v>0</v>
      </c>
      <c r="K265">
        <v>0</v>
      </c>
      <c r="L265">
        <v>93942.6294325221</v>
      </c>
      <c r="M265">
        <v>11088</v>
      </c>
      <c r="N265">
        <v>59565</v>
      </c>
    </row>
    <row r="266" spans="1:16">
      <c r="A266" s="2">
        <v>264</v>
      </c>
      <c r="B266" s="2" t="s">
        <v>643</v>
      </c>
      <c r="C266" t="s">
        <v>1123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</row>
    <row r="267" ht="67.5" spans="1:16">
      <c r="A267" s="2">
        <v>265</v>
      </c>
      <c r="B267" s="2" t="s">
        <v>644</v>
      </c>
      <c r="C267" t="s">
        <v>1193</v>
      </c>
      <c r="E267" t="s">
        <v>234</v>
      </c>
      <c r="F267">
        <v>2</v>
      </c>
      <c r="I267">
        <v>2324.97</v>
      </c>
      <c r="J267">
        <v>0</v>
      </c>
      <c r="K267">
        <v>1800</v>
      </c>
      <c r="L267">
        <v>4649.94</v>
      </c>
      <c r="M267">
        <v>0</v>
      </c>
      <c r="N267">
        <v>3600</v>
      </c>
      <c r="P267" s="3" t="s">
        <v>646</v>
      </c>
    </row>
    <row r="268" spans="1:16">
      <c r="A268" s="2">
        <v>266</v>
      </c>
      <c r="B268" s="2" t="s">
        <v>647</v>
      </c>
      <c r="C268" t="s">
        <v>1194</v>
      </c>
      <c r="E268" t="s">
        <v>234</v>
      </c>
      <c r="F268">
        <v>4</v>
      </c>
      <c r="I268">
        <v>1549.98</v>
      </c>
      <c r="J268">
        <v>0</v>
      </c>
      <c r="K268">
        <v>1200</v>
      </c>
      <c r="L268">
        <v>6199.92</v>
      </c>
      <c r="M268">
        <v>0</v>
      </c>
      <c r="N268">
        <v>4800</v>
      </c>
      <c r="P268" s="3" t="s">
        <v>79</v>
      </c>
    </row>
    <row r="269" spans="1:16">
      <c r="A269" s="2">
        <v>267</v>
      </c>
      <c r="B269" s="2" t="s">
        <v>649</v>
      </c>
      <c r="C269" t="s">
        <v>1195</v>
      </c>
      <c r="E269" t="s">
        <v>234</v>
      </c>
      <c r="F269">
        <v>2</v>
      </c>
      <c r="I269">
        <v>1291.65</v>
      </c>
      <c r="J269">
        <v>0</v>
      </c>
      <c r="K269">
        <v>1000</v>
      </c>
      <c r="L269">
        <v>2583.3</v>
      </c>
      <c r="M269">
        <v>0</v>
      </c>
      <c r="N269">
        <v>2000</v>
      </c>
      <c r="P269" s="3" t="s">
        <v>79</v>
      </c>
    </row>
    <row r="270" spans="1:16">
      <c r="A270" s="2">
        <v>268</v>
      </c>
      <c r="B270" s="2" t="s">
        <v>651</v>
      </c>
      <c r="C270" t="s">
        <v>1196</v>
      </c>
      <c r="E270" t="s">
        <v>1197</v>
      </c>
      <c r="F270">
        <v>2</v>
      </c>
      <c r="I270">
        <v>258.33</v>
      </c>
      <c r="J270">
        <v>0</v>
      </c>
      <c r="K270">
        <v>200</v>
      </c>
      <c r="L270">
        <v>516.66</v>
      </c>
      <c r="M270">
        <v>0</v>
      </c>
      <c r="N270">
        <v>400</v>
      </c>
      <c r="P270" s="3" t="s">
        <v>79</v>
      </c>
    </row>
    <row r="271" spans="1:16">
      <c r="A271" s="2">
        <v>269</v>
      </c>
      <c r="B271" s="2" t="s">
        <v>654</v>
      </c>
      <c r="C271" t="s">
        <v>1198</v>
      </c>
      <c r="E271" t="s">
        <v>263</v>
      </c>
      <c r="F271">
        <v>3</v>
      </c>
      <c r="I271">
        <v>387.495</v>
      </c>
      <c r="J271">
        <v>0</v>
      </c>
      <c r="K271">
        <v>300</v>
      </c>
      <c r="L271">
        <v>1162.485</v>
      </c>
      <c r="M271">
        <v>0</v>
      </c>
      <c r="N271">
        <v>900</v>
      </c>
      <c r="P271" s="3" t="s">
        <v>79</v>
      </c>
    </row>
    <row r="272" spans="1:16">
      <c r="A272" s="2">
        <v>270</v>
      </c>
      <c r="B272" s="2" t="s">
        <v>656</v>
      </c>
      <c r="C272" t="s">
        <v>1199</v>
      </c>
      <c r="E272" t="s">
        <v>263</v>
      </c>
      <c r="F272">
        <v>8</v>
      </c>
      <c r="I272">
        <v>258.33</v>
      </c>
      <c r="J272">
        <v>0</v>
      </c>
      <c r="K272">
        <v>200</v>
      </c>
      <c r="L272">
        <v>2066.64</v>
      </c>
      <c r="M272">
        <v>0</v>
      </c>
      <c r="N272">
        <v>1600</v>
      </c>
      <c r="P272" s="3" t="s">
        <v>79</v>
      </c>
    </row>
    <row r="273" spans="1:16">
      <c r="A273" s="2">
        <v>271</v>
      </c>
      <c r="B273" s="2" t="s">
        <v>658</v>
      </c>
      <c r="C273" t="s">
        <v>1200</v>
      </c>
      <c r="E273" t="s">
        <v>263</v>
      </c>
      <c r="F273">
        <v>14</v>
      </c>
      <c r="I273">
        <v>129.165</v>
      </c>
      <c r="J273">
        <v>0</v>
      </c>
      <c r="K273">
        <v>100</v>
      </c>
      <c r="L273">
        <v>1808.31</v>
      </c>
      <c r="M273">
        <v>0</v>
      </c>
      <c r="N273">
        <v>1400</v>
      </c>
      <c r="P273" s="3" t="s">
        <v>79</v>
      </c>
    </row>
    <row r="274" spans="1:16">
      <c r="A274" s="2">
        <v>272</v>
      </c>
      <c r="B274" s="2" t="s">
        <v>660</v>
      </c>
      <c r="C274" t="s">
        <v>1201</v>
      </c>
      <c r="D274" s="3" t="s">
        <v>338</v>
      </c>
      <c r="E274" t="s">
        <v>263</v>
      </c>
      <c r="F274">
        <v>8</v>
      </c>
      <c r="I274">
        <v>64.5825</v>
      </c>
      <c r="J274">
        <v>0</v>
      </c>
      <c r="K274">
        <v>50</v>
      </c>
      <c r="L274">
        <v>516.66</v>
      </c>
      <c r="M274">
        <v>0</v>
      </c>
      <c r="N274">
        <v>400</v>
      </c>
      <c r="P274" s="3" t="s">
        <v>79</v>
      </c>
    </row>
    <row r="275" spans="1:16">
      <c r="A275" s="2">
        <v>273</v>
      </c>
      <c r="B275" s="2" t="s">
        <v>662</v>
      </c>
      <c r="C275" t="s">
        <v>1202</v>
      </c>
      <c r="E275" t="s">
        <v>263</v>
      </c>
      <c r="F275">
        <v>1</v>
      </c>
      <c r="I275">
        <v>193.7475</v>
      </c>
      <c r="J275">
        <v>0</v>
      </c>
      <c r="K275">
        <v>150</v>
      </c>
      <c r="L275">
        <v>193.7475</v>
      </c>
      <c r="M275">
        <v>0</v>
      </c>
      <c r="N275">
        <v>150</v>
      </c>
      <c r="P275" s="3" t="s">
        <v>79</v>
      </c>
    </row>
    <row r="276" spans="1:16">
      <c r="A276" s="2">
        <v>274</v>
      </c>
      <c r="B276" s="2" t="s">
        <v>664</v>
      </c>
      <c r="C276" t="s">
        <v>1203</v>
      </c>
      <c r="E276" t="s">
        <v>263</v>
      </c>
      <c r="F276">
        <v>1</v>
      </c>
      <c r="I276">
        <v>129.165</v>
      </c>
      <c r="J276">
        <v>0</v>
      </c>
      <c r="K276">
        <v>100</v>
      </c>
      <c r="L276">
        <v>129.165</v>
      </c>
      <c r="M276">
        <v>0</v>
      </c>
      <c r="N276">
        <v>100</v>
      </c>
      <c r="P276" s="3" t="s">
        <v>79</v>
      </c>
    </row>
    <row r="277" spans="1:16">
      <c r="A277" s="2">
        <v>275</v>
      </c>
      <c r="B277" s="2" t="s">
        <v>666</v>
      </c>
      <c r="C277" t="s">
        <v>1204</v>
      </c>
      <c r="E277" t="s">
        <v>263</v>
      </c>
      <c r="F277">
        <v>1</v>
      </c>
      <c r="I277">
        <v>193.7475</v>
      </c>
      <c r="J277">
        <v>0</v>
      </c>
      <c r="K277">
        <v>150</v>
      </c>
      <c r="L277">
        <v>193.7475</v>
      </c>
      <c r="M277">
        <v>0</v>
      </c>
      <c r="N277">
        <v>150</v>
      </c>
      <c r="P277" s="3" t="s">
        <v>79</v>
      </c>
    </row>
    <row r="278" spans="1:16">
      <c r="A278" s="2">
        <v>276</v>
      </c>
      <c r="B278" s="2" t="s">
        <v>668</v>
      </c>
      <c r="C278" t="s">
        <v>1205</v>
      </c>
      <c r="E278" t="s">
        <v>1206</v>
      </c>
      <c r="F278">
        <v>4</v>
      </c>
      <c r="I278">
        <v>1033.32</v>
      </c>
      <c r="J278">
        <v>0</v>
      </c>
      <c r="K278">
        <v>800</v>
      </c>
      <c r="L278">
        <v>4133.28</v>
      </c>
      <c r="M278">
        <v>0</v>
      </c>
      <c r="N278">
        <v>3200</v>
      </c>
      <c r="P278" s="3" t="s">
        <v>79</v>
      </c>
    </row>
    <row r="279" spans="1:16">
      <c r="A279" s="2">
        <v>277</v>
      </c>
      <c r="B279" s="2" t="s">
        <v>671</v>
      </c>
      <c r="C279" t="s">
        <v>672</v>
      </c>
      <c r="E279" t="s">
        <v>263</v>
      </c>
      <c r="F279">
        <v>4</v>
      </c>
      <c r="I279">
        <v>1033.32</v>
      </c>
      <c r="J279">
        <v>0</v>
      </c>
      <c r="K279">
        <v>800</v>
      </c>
      <c r="L279">
        <v>4133.28</v>
      </c>
      <c r="M279">
        <v>0</v>
      </c>
      <c r="N279">
        <v>3200</v>
      </c>
      <c r="P279" s="3" t="s">
        <v>79</v>
      </c>
    </row>
    <row r="280" spans="1:16">
      <c r="A280" s="2">
        <v>278</v>
      </c>
      <c r="B280" s="2" t="s">
        <v>673</v>
      </c>
      <c r="C280" t="s">
        <v>1162</v>
      </c>
      <c r="E280" t="s">
        <v>230</v>
      </c>
      <c r="F280">
        <v>4</v>
      </c>
      <c r="I280">
        <v>645.825</v>
      </c>
      <c r="J280">
        <v>0</v>
      </c>
      <c r="K280">
        <v>500</v>
      </c>
      <c r="L280">
        <v>2583.3</v>
      </c>
      <c r="M280">
        <v>0</v>
      </c>
      <c r="N280">
        <v>2000</v>
      </c>
      <c r="P280" s="3" t="s">
        <v>79</v>
      </c>
    </row>
    <row r="281" spans="1:16">
      <c r="A281" s="2">
        <v>279</v>
      </c>
      <c r="B281" s="2" t="s">
        <v>674</v>
      </c>
      <c r="C281" t="s">
        <v>675</v>
      </c>
      <c r="D281" s="3" t="s">
        <v>676</v>
      </c>
      <c r="E281" t="s">
        <v>234</v>
      </c>
      <c r="F281">
        <v>2</v>
      </c>
      <c r="I281">
        <v>1937.475</v>
      </c>
      <c r="J281">
        <v>0</v>
      </c>
      <c r="K281">
        <v>1500</v>
      </c>
      <c r="L281">
        <v>3874.95</v>
      </c>
      <c r="M281">
        <v>0</v>
      </c>
      <c r="N281">
        <v>3000</v>
      </c>
      <c r="P281" s="3" t="s">
        <v>79</v>
      </c>
    </row>
    <row r="282" spans="1:16">
      <c r="A282" s="2">
        <v>280</v>
      </c>
      <c r="B282" s="2">
        <v>9.2</v>
      </c>
      <c r="C282" t="s">
        <v>1129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</row>
    <row r="283" ht="27" spans="1:16">
      <c r="A283" s="2">
        <v>281</v>
      </c>
      <c r="B283" s="2" t="s">
        <v>677</v>
      </c>
      <c r="C283" t="s">
        <v>1207</v>
      </c>
      <c r="D283" s="3" t="s">
        <v>679</v>
      </c>
      <c r="E283" t="s">
        <v>468</v>
      </c>
      <c r="F283">
        <v>1500</v>
      </c>
      <c r="I283">
        <v>5.830955</v>
      </c>
      <c r="K283">
        <v>4</v>
      </c>
      <c r="L283">
        <v>8746.4325</v>
      </c>
      <c r="M283">
        <v>0</v>
      </c>
      <c r="N283">
        <v>6000</v>
      </c>
      <c r="P283" s="3" t="s">
        <v>629</v>
      </c>
    </row>
    <row r="284" spans="1:16">
      <c r="A284" s="2">
        <v>282</v>
      </c>
      <c r="B284" s="2" t="s">
        <v>680</v>
      </c>
      <c r="C284" t="s">
        <v>1207</v>
      </c>
      <c r="D284" s="3" t="s">
        <v>681</v>
      </c>
      <c r="E284" t="s">
        <v>468</v>
      </c>
      <c r="F284">
        <v>100</v>
      </c>
      <c r="I284">
        <v>5.996744</v>
      </c>
      <c r="K284">
        <v>4</v>
      </c>
      <c r="L284">
        <v>599.6744</v>
      </c>
      <c r="M284">
        <v>0</v>
      </c>
      <c r="N284">
        <v>400</v>
      </c>
      <c r="P284" s="3" t="s">
        <v>79</v>
      </c>
    </row>
    <row r="285" spans="1:16">
      <c r="A285" s="2">
        <v>283</v>
      </c>
      <c r="B285" s="2" t="s">
        <v>682</v>
      </c>
      <c r="C285" t="s">
        <v>1208</v>
      </c>
      <c r="D285" s="3" t="s">
        <v>684</v>
      </c>
      <c r="E285" t="s">
        <v>468</v>
      </c>
      <c r="F285">
        <v>500</v>
      </c>
      <c r="I285">
        <v>0.167206</v>
      </c>
      <c r="K285">
        <v>0</v>
      </c>
      <c r="L285">
        <v>83.603</v>
      </c>
      <c r="M285">
        <v>0</v>
      </c>
      <c r="N285">
        <v>0</v>
      </c>
      <c r="P285" s="3" t="s">
        <v>79</v>
      </c>
    </row>
    <row r="286" spans="1:16">
      <c r="A286" s="2">
        <v>284</v>
      </c>
      <c r="B286" s="2" t="s">
        <v>685</v>
      </c>
      <c r="C286" t="s">
        <v>1209</v>
      </c>
      <c r="D286" s="3" t="s">
        <v>687</v>
      </c>
      <c r="E286" t="s">
        <v>468</v>
      </c>
      <c r="F286">
        <v>500</v>
      </c>
      <c r="I286">
        <v>5.731765</v>
      </c>
      <c r="K286">
        <v>4</v>
      </c>
      <c r="L286">
        <v>2865.8825</v>
      </c>
      <c r="M286">
        <v>0</v>
      </c>
      <c r="N286">
        <v>2000</v>
      </c>
      <c r="P286" s="3" t="s">
        <v>79</v>
      </c>
    </row>
    <row r="287" spans="1:16">
      <c r="A287" s="2">
        <v>285</v>
      </c>
      <c r="B287" s="2" t="s">
        <v>688</v>
      </c>
      <c r="C287" t="s">
        <v>1209</v>
      </c>
      <c r="D287" s="3" t="s">
        <v>687</v>
      </c>
      <c r="E287" t="s">
        <v>468</v>
      </c>
      <c r="F287">
        <v>1000</v>
      </c>
      <c r="I287">
        <v>5.731765</v>
      </c>
      <c r="K287">
        <v>4</v>
      </c>
      <c r="L287">
        <v>5731.765</v>
      </c>
      <c r="M287">
        <v>0</v>
      </c>
      <c r="N287">
        <v>4000</v>
      </c>
      <c r="P287" s="3" t="s">
        <v>79</v>
      </c>
    </row>
    <row r="288" spans="1:16">
      <c r="A288" s="2">
        <v>286</v>
      </c>
      <c r="B288" s="2" t="s">
        <v>689</v>
      </c>
      <c r="C288" t="s">
        <v>1210</v>
      </c>
      <c r="D288" s="3" t="s">
        <v>691</v>
      </c>
      <c r="E288" t="s">
        <v>468</v>
      </c>
      <c r="F288">
        <v>300</v>
      </c>
      <c r="I288">
        <v>5.747352</v>
      </c>
      <c r="K288">
        <v>4</v>
      </c>
      <c r="L288">
        <v>1724.2056</v>
      </c>
      <c r="M288">
        <v>0</v>
      </c>
      <c r="N288">
        <v>1200</v>
      </c>
      <c r="P288" s="3" t="s">
        <v>79</v>
      </c>
    </row>
    <row r="289" spans="1:16">
      <c r="A289" s="2">
        <v>287</v>
      </c>
      <c r="B289" s="2" t="s">
        <v>692</v>
      </c>
      <c r="C289" t="s">
        <v>693</v>
      </c>
      <c r="E289" t="s">
        <v>468</v>
      </c>
      <c r="F289">
        <v>500</v>
      </c>
      <c r="I289">
        <v>11.336</v>
      </c>
      <c r="J289">
        <v>0</v>
      </c>
      <c r="K289">
        <v>8</v>
      </c>
      <c r="L289">
        <v>5668</v>
      </c>
      <c r="M289">
        <v>0</v>
      </c>
      <c r="N289">
        <v>4000</v>
      </c>
      <c r="P289" s="3" t="s">
        <v>79</v>
      </c>
    </row>
    <row r="290" spans="1:16">
      <c r="A290" s="2">
        <v>288</v>
      </c>
      <c r="B290" s="2" t="s">
        <v>694</v>
      </c>
      <c r="C290" t="s">
        <v>1211</v>
      </c>
      <c r="E290" t="s">
        <v>468</v>
      </c>
      <c r="F290">
        <v>300</v>
      </c>
      <c r="I290">
        <v>11.336</v>
      </c>
      <c r="J290">
        <v>0</v>
      </c>
      <c r="K290">
        <v>8</v>
      </c>
      <c r="L290">
        <v>3400.8</v>
      </c>
      <c r="M290">
        <v>0</v>
      </c>
      <c r="N290">
        <v>2400</v>
      </c>
      <c r="P290" s="3" t="s">
        <v>79</v>
      </c>
    </row>
    <row r="291" spans="1:16">
      <c r="A291" s="2">
        <v>289</v>
      </c>
      <c r="B291" s="2" t="s">
        <v>696</v>
      </c>
      <c r="C291" t="s">
        <v>1212</v>
      </c>
      <c r="E291" t="s">
        <v>468</v>
      </c>
      <c r="F291">
        <v>300</v>
      </c>
      <c r="I291">
        <v>11.336</v>
      </c>
      <c r="J291">
        <v>0</v>
      </c>
      <c r="K291">
        <v>8</v>
      </c>
      <c r="L291">
        <v>3400.8</v>
      </c>
      <c r="M291">
        <v>0</v>
      </c>
      <c r="N291">
        <v>2400</v>
      </c>
      <c r="P291" s="3" t="s">
        <v>79</v>
      </c>
    </row>
    <row r="292" spans="1:16">
      <c r="A292" s="2">
        <v>290</v>
      </c>
      <c r="B292" s="2" t="s">
        <v>698</v>
      </c>
      <c r="C292" t="s">
        <v>1213</v>
      </c>
      <c r="E292" t="s">
        <v>468</v>
      </c>
      <c r="F292">
        <v>500</v>
      </c>
      <c r="I292">
        <v>11.336</v>
      </c>
      <c r="J292">
        <v>0</v>
      </c>
      <c r="K292">
        <v>8</v>
      </c>
      <c r="L292">
        <v>5668</v>
      </c>
      <c r="M292">
        <v>0</v>
      </c>
      <c r="N292">
        <v>4000</v>
      </c>
      <c r="P292" s="3" t="s">
        <v>79</v>
      </c>
    </row>
    <row r="293" ht="27" spans="1:16">
      <c r="A293" s="2">
        <v>291</v>
      </c>
      <c r="B293" s="2" t="s">
        <v>700</v>
      </c>
      <c r="C293" t="s">
        <v>1141</v>
      </c>
      <c r="D293" s="3" t="s">
        <v>63</v>
      </c>
      <c r="E293" t="s">
        <v>64</v>
      </c>
      <c r="F293">
        <v>1.65</v>
      </c>
      <c r="I293">
        <v>8924.38705752212</v>
      </c>
      <c r="J293">
        <v>4700</v>
      </c>
      <c r="K293">
        <v>2600</v>
      </c>
      <c r="L293">
        <v>14725.2386449115</v>
      </c>
      <c r="M293">
        <v>7755</v>
      </c>
      <c r="N293">
        <v>4290</v>
      </c>
      <c r="P293" s="3" t="s">
        <v>596</v>
      </c>
    </row>
    <row r="294" spans="1:16">
      <c r="A294" s="2">
        <v>292</v>
      </c>
      <c r="B294" s="2" t="s">
        <v>701</v>
      </c>
      <c r="C294" t="s">
        <v>349</v>
      </c>
      <c r="D294" s="3" t="s">
        <v>63</v>
      </c>
      <c r="E294" t="s">
        <v>64</v>
      </c>
      <c r="F294">
        <v>0.2</v>
      </c>
      <c r="I294">
        <v>8695.7764380531</v>
      </c>
      <c r="J294">
        <v>4500</v>
      </c>
      <c r="K294">
        <v>2600</v>
      </c>
      <c r="L294">
        <v>1739.15528761062</v>
      </c>
      <c r="M294">
        <v>900</v>
      </c>
      <c r="N294">
        <v>520</v>
      </c>
      <c r="P294" s="3" t="s">
        <v>79</v>
      </c>
    </row>
    <row r="295" spans="1:16">
      <c r="A295" s="2">
        <v>293</v>
      </c>
      <c r="B295" s="2" t="s">
        <v>703</v>
      </c>
      <c r="C295" t="s">
        <v>1214</v>
      </c>
      <c r="D295" s="3" t="s">
        <v>1215</v>
      </c>
      <c r="E295" t="s">
        <v>468</v>
      </c>
      <c r="F295">
        <v>30</v>
      </c>
      <c r="I295">
        <v>53.666342920354</v>
      </c>
      <c r="J295">
        <v>30</v>
      </c>
      <c r="K295">
        <v>15</v>
      </c>
      <c r="L295">
        <v>1609.99028761062</v>
      </c>
      <c r="M295">
        <v>900</v>
      </c>
      <c r="N295">
        <v>450</v>
      </c>
      <c r="P295" s="3" t="s">
        <v>79</v>
      </c>
    </row>
    <row r="296" ht="27" spans="1:16">
      <c r="A296" s="2">
        <v>294</v>
      </c>
      <c r="B296" s="2" t="s">
        <v>706</v>
      </c>
      <c r="C296" t="s">
        <v>1185</v>
      </c>
      <c r="D296" s="3" t="s">
        <v>603</v>
      </c>
      <c r="E296" t="s">
        <v>468</v>
      </c>
      <c r="F296">
        <v>60</v>
      </c>
      <c r="I296">
        <v>14.6082185840708</v>
      </c>
      <c r="J296">
        <v>6</v>
      </c>
      <c r="K296">
        <v>6</v>
      </c>
      <c r="L296">
        <v>876.493115044248</v>
      </c>
      <c r="M296">
        <v>360</v>
      </c>
      <c r="N296">
        <v>360</v>
      </c>
      <c r="P296" s="3" t="s">
        <v>604</v>
      </c>
    </row>
    <row r="297" ht="27" spans="1:16">
      <c r="A297" s="2">
        <v>295</v>
      </c>
      <c r="B297" s="2" t="s">
        <v>707</v>
      </c>
      <c r="C297" t="s">
        <v>708</v>
      </c>
      <c r="D297" s="3" t="s">
        <v>63</v>
      </c>
      <c r="E297" t="s">
        <v>64</v>
      </c>
      <c r="F297">
        <v>0.3</v>
      </c>
      <c r="I297">
        <v>7857.34699115044</v>
      </c>
      <c r="J297">
        <v>3910</v>
      </c>
      <c r="K297">
        <v>2150</v>
      </c>
      <c r="L297">
        <v>2357.20409734513</v>
      </c>
      <c r="M297">
        <v>1173</v>
      </c>
      <c r="N297">
        <v>645</v>
      </c>
      <c r="P297" s="3" t="s">
        <v>594</v>
      </c>
    </row>
    <row r="298" spans="1:16">
      <c r="A298" s="2">
        <v>296</v>
      </c>
      <c r="B298" s="2">
        <v>10</v>
      </c>
      <c r="C298" t="s">
        <v>1216</v>
      </c>
      <c r="I298">
        <v>0</v>
      </c>
      <c r="J298">
        <v>0</v>
      </c>
      <c r="K298">
        <v>0</v>
      </c>
      <c r="L298">
        <v>28643.657119469</v>
      </c>
      <c r="M298">
        <v>200</v>
      </c>
      <c r="N298">
        <v>20880</v>
      </c>
    </row>
    <row r="299" spans="1:16">
      <c r="A299" s="2">
        <v>297</v>
      </c>
      <c r="B299" s="2">
        <v>10.1</v>
      </c>
      <c r="C299" t="s">
        <v>1217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</row>
    <row r="300" spans="1:16">
      <c r="A300" s="2">
        <v>298</v>
      </c>
      <c r="B300" s="2" t="s">
        <v>711</v>
      </c>
      <c r="C300" t="s">
        <v>1123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</row>
    <row r="301" ht="40.5" spans="1:16">
      <c r="A301" s="2">
        <v>299</v>
      </c>
      <c r="B301" s="2" t="s">
        <v>712</v>
      </c>
      <c r="C301" t="s">
        <v>1218</v>
      </c>
      <c r="E301" t="s">
        <v>263</v>
      </c>
      <c r="F301">
        <v>1</v>
      </c>
      <c r="I301">
        <v>1033.32</v>
      </c>
      <c r="J301">
        <v>0</v>
      </c>
      <c r="K301">
        <v>800</v>
      </c>
      <c r="L301">
        <v>1033.32</v>
      </c>
      <c r="M301">
        <v>0</v>
      </c>
      <c r="N301">
        <v>800</v>
      </c>
      <c r="P301" s="3" t="s">
        <v>442</v>
      </c>
    </row>
    <row r="302" spans="1:16">
      <c r="A302" s="2">
        <v>300</v>
      </c>
      <c r="B302" s="2" t="s">
        <v>714</v>
      </c>
      <c r="C302" t="s">
        <v>1219</v>
      </c>
      <c r="E302" t="s">
        <v>263</v>
      </c>
      <c r="F302">
        <v>4</v>
      </c>
      <c r="I302">
        <v>1033.32</v>
      </c>
      <c r="J302">
        <v>0</v>
      </c>
      <c r="K302">
        <v>800</v>
      </c>
      <c r="L302">
        <v>4133.28</v>
      </c>
      <c r="M302">
        <v>0</v>
      </c>
      <c r="N302">
        <v>3200</v>
      </c>
      <c r="P302" s="3" t="s">
        <v>79</v>
      </c>
    </row>
    <row r="303" spans="1:16">
      <c r="A303" s="2">
        <v>301</v>
      </c>
      <c r="B303" s="2" t="s">
        <v>716</v>
      </c>
      <c r="C303" t="s">
        <v>1220</v>
      </c>
      <c r="D303" s="3" t="s">
        <v>718</v>
      </c>
      <c r="E303" t="s">
        <v>263</v>
      </c>
      <c r="F303">
        <v>3</v>
      </c>
      <c r="I303">
        <v>645.825</v>
      </c>
      <c r="J303">
        <v>0</v>
      </c>
      <c r="K303">
        <v>500</v>
      </c>
      <c r="L303">
        <v>1937.475</v>
      </c>
      <c r="M303">
        <v>0</v>
      </c>
      <c r="N303">
        <v>1500</v>
      </c>
      <c r="P303" s="3" t="s">
        <v>79</v>
      </c>
    </row>
    <row r="304" spans="1:16">
      <c r="A304" s="2">
        <v>302</v>
      </c>
      <c r="B304" s="2" t="s">
        <v>719</v>
      </c>
      <c r="C304" t="s">
        <v>1221</v>
      </c>
      <c r="D304" s="3" t="s">
        <v>721</v>
      </c>
      <c r="E304" t="s">
        <v>263</v>
      </c>
      <c r="F304">
        <v>1</v>
      </c>
      <c r="I304">
        <v>645.825</v>
      </c>
      <c r="J304">
        <v>0</v>
      </c>
      <c r="K304">
        <v>500</v>
      </c>
      <c r="L304">
        <v>645.825</v>
      </c>
      <c r="M304">
        <v>0</v>
      </c>
      <c r="N304">
        <v>500</v>
      </c>
      <c r="P304" s="3" t="s">
        <v>79</v>
      </c>
    </row>
    <row r="305" spans="1:16">
      <c r="A305" s="2">
        <v>303</v>
      </c>
      <c r="B305" s="2" t="s">
        <v>722</v>
      </c>
      <c r="C305" t="s">
        <v>1222</v>
      </c>
      <c r="E305" t="s">
        <v>263</v>
      </c>
      <c r="F305">
        <v>1</v>
      </c>
      <c r="I305">
        <v>645.825</v>
      </c>
      <c r="J305">
        <v>0</v>
      </c>
      <c r="K305">
        <v>500</v>
      </c>
      <c r="L305">
        <v>645.825</v>
      </c>
      <c r="M305">
        <v>0</v>
      </c>
      <c r="N305">
        <v>500</v>
      </c>
      <c r="P305" s="3" t="s">
        <v>79</v>
      </c>
    </row>
    <row r="306" spans="1:16">
      <c r="A306" s="2">
        <v>304</v>
      </c>
      <c r="B306" s="2" t="s">
        <v>724</v>
      </c>
      <c r="C306" t="s">
        <v>1222</v>
      </c>
      <c r="E306" t="s">
        <v>263</v>
      </c>
      <c r="F306">
        <v>1</v>
      </c>
      <c r="I306">
        <v>645.825</v>
      </c>
      <c r="J306">
        <v>0</v>
      </c>
      <c r="K306">
        <v>500</v>
      </c>
      <c r="L306">
        <v>645.825</v>
      </c>
      <c r="M306">
        <v>0</v>
      </c>
      <c r="N306">
        <v>500</v>
      </c>
      <c r="P306" s="3" t="s">
        <v>79</v>
      </c>
    </row>
    <row r="307" spans="1:16">
      <c r="A307" s="2">
        <v>305</v>
      </c>
      <c r="B307" s="2" t="s">
        <v>725</v>
      </c>
      <c r="C307" t="s">
        <v>1162</v>
      </c>
      <c r="E307" t="s">
        <v>234</v>
      </c>
      <c r="F307">
        <v>1</v>
      </c>
      <c r="I307">
        <v>645.825</v>
      </c>
      <c r="J307">
        <v>0</v>
      </c>
      <c r="K307">
        <v>500</v>
      </c>
      <c r="L307">
        <v>645.825</v>
      </c>
      <c r="M307">
        <v>0</v>
      </c>
      <c r="N307">
        <v>500</v>
      </c>
      <c r="P307" s="3" t="s">
        <v>79</v>
      </c>
    </row>
    <row r="308" spans="1:16">
      <c r="A308" s="2">
        <v>306</v>
      </c>
      <c r="B308" s="2" t="s">
        <v>726</v>
      </c>
      <c r="C308" t="s">
        <v>1223</v>
      </c>
      <c r="D308" s="3" t="s">
        <v>728</v>
      </c>
      <c r="E308" t="s">
        <v>263</v>
      </c>
      <c r="F308">
        <v>1</v>
      </c>
      <c r="I308">
        <v>645.825</v>
      </c>
      <c r="J308">
        <v>0</v>
      </c>
      <c r="K308">
        <v>500</v>
      </c>
      <c r="L308">
        <v>645.825</v>
      </c>
      <c r="M308">
        <v>0</v>
      </c>
      <c r="N308">
        <v>500</v>
      </c>
      <c r="P308" s="3" t="s">
        <v>79</v>
      </c>
    </row>
    <row r="309" spans="1:16">
      <c r="A309" s="2">
        <v>307</v>
      </c>
      <c r="B309" s="2" t="s">
        <v>729</v>
      </c>
      <c r="C309" t="s">
        <v>1223</v>
      </c>
      <c r="D309" s="3" t="s">
        <v>730</v>
      </c>
      <c r="E309" t="s">
        <v>263</v>
      </c>
      <c r="F309">
        <v>1</v>
      </c>
      <c r="I309">
        <v>645.825</v>
      </c>
      <c r="J309">
        <v>0</v>
      </c>
      <c r="K309">
        <v>500</v>
      </c>
      <c r="L309">
        <v>645.825</v>
      </c>
      <c r="M309">
        <v>0</v>
      </c>
      <c r="N309">
        <v>500</v>
      </c>
      <c r="P309" s="3" t="s">
        <v>79</v>
      </c>
    </row>
    <row r="310" spans="1:16">
      <c r="A310" s="2">
        <v>308</v>
      </c>
      <c r="B310" s="2" t="s">
        <v>731</v>
      </c>
      <c r="C310" t="s">
        <v>1224</v>
      </c>
      <c r="D310" s="3" t="s">
        <v>1225</v>
      </c>
      <c r="E310" t="s">
        <v>234</v>
      </c>
      <c r="F310">
        <v>1</v>
      </c>
      <c r="I310">
        <v>387.495</v>
      </c>
      <c r="J310">
        <v>0</v>
      </c>
      <c r="K310">
        <v>300</v>
      </c>
      <c r="L310">
        <v>387.495</v>
      </c>
      <c r="M310">
        <v>0</v>
      </c>
      <c r="N310">
        <v>300</v>
      </c>
      <c r="P310" s="3" t="s">
        <v>79</v>
      </c>
    </row>
    <row r="311" spans="1:16">
      <c r="A311" s="2">
        <v>309</v>
      </c>
      <c r="B311" s="2">
        <v>10.2</v>
      </c>
      <c r="C311" t="s">
        <v>1129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</row>
    <row r="312" spans="1:16">
      <c r="A312" s="2">
        <v>310</v>
      </c>
      <c r="B312" s="2" t="s">
        <v>734</v>
      </c>
      <c r="C312" t="s">
        <v>1184</v>
      </c>
      <c r="D312" s="3" t="s">
        <v>735</v>
      </c>
      <c r="E312" t="s">
        <v>468</v>
      </c>
      <c r="F312">
        <v>10</v>
      </c>
      <c r="I312">
        <v>21.6608561946903</v>
      </c>
      <c r="J312">
        <v>2</v>
      </c>
      <c r="K312">
        <v>15</v>
      </c>
      <c r="L312">
        <v>216.608561946903</v>
      </c>
      <c r="M312">
        <v>20</v>
      </c>
      <c r="N312">
        <v>150</v>
      </c>
      <c r="P312" s="3" t="s">
        <v>98</v>
      </c>
    </row>
    <row r="313" spans="1:16">
      <c r="A313" s="2">
        <v>311</v>
      </c>
      <c r="B313" s="2" t="s">
        <v>736</v>
      </c>
      <c r="C313" t="s">
        <v>1226</v>
      </c>
      <c r="D313" s="3" t="s">
        <v>738</v>
      </c>
      <c r="E313" t="s">
        <v>468</v>
      </c>
      <c r="F313">
        <v>30</v>
      </c>
      <c r="I313">
        <v>26.2330685840708</v>
      </c>
      <c r="J313">
        <v>6</v>
      </c>
      <c r="K313">
        <v>15</v>
      </c>
      <c r="L313">
        <v>786.992057522124</v>
      </c>
      <c r="M313">
        <v>180</v>
      </c>
      <c r="N313">
        <v>450</v>
      </c>
      <c r="P313" s="3" t="s">
        <v>79</v>
      </c>
    </row>
    <row r="314" ht="27" spans="1:16">
      <c r="A314" s="2">
        <v>312</v>
      </c>
      <c r="B314" s="2" t="s">
        <v>739</v>
      </c>
      <c r="C314" t="s">
        <v>1227</v>
      </c>
      <c r="D314" s="3" t="s">
        <v>741</v>
      </c>
      <c r="E314" t="s">
        <v>468</v>
      </c>
      <c r="F314">
        <v>30</v>
      </c>
      <c r="I314">
        <v>5.88055</v>
      </c>
      <c r="K314">
        <v>4</v>
      </c>
      <c r="L314">
        <v>176.4165</v>
      </c>
      <c r="M314">
        <v>0</v>
      </c>
      <c r="N314">
        <v>120</v>
      </c>
      <c r="P314" s="3" t="s">
        <v>629</v>
      </c>
    </row>
    <row r="315" spans="1:16">
      <c r="A315" s="2">
        <v>313</v>
      </c>
      <c r="B315" s="2" t="s">
        <v>742</v>
      </c>
      <c r="C315" t="s">
        <v>743</v>
      </c>
      <c r="D315" s="3" t="s">
        <v>744</v>
      </c>
      <c r="E315" t="s">
        <v>468</v>
      </c>
      <c r="F315">
        <v>300</v>
      </c>
      <c r="I315">
        <v>5.668</v>
      </c>
      <c r="J315">
        <v>0</v>
      </c>
      <c r="K315">
        <v>4</v>
      </c>
      <c r="L315">
        <v>1700.4</v>
      </c>
      <c r="M315">
        <v>0</v>
      </c>
      <c r="N315">
        <v>1200</v>
      </c>
      <c r="P315" s="3" t="s">
        <v>79</v>
      </c>
    </row>
    <row r="316" spans="1:16">
      <c r="A316" s="2">
        <v>314</v>
      </c>
      <c r="B316" s="2" t="s">
        <v>745</v>
      </c>
      <c r="C316" t="s">
        <v>746</v>
      </c>
      <c r="D316" s="3" t="s">
        <v>1228</v>
      </c>
      <c r="E316" t="s">
        <v>468</v>
      </c>
      <c r="F316">
        <v>2000</v>
      </c>
      <c r="I316">
        <v>7.085</v>
      </c>
      <c r="J316">
        <v>0</v>
      </c>
      <c r="K316">
        <v>5</v>
      </c>
      <c r="L316">
        <v>14170</v>
      </c>
      <c r="M316">
        <v>0</v>
      </c>
      <c r="N316">
        <v>10000</v>
      </c>
      <c r="P316" s="3" t="s">
        <v>79</v>
      </c>
    </row>
    <row r="317" spans="1:16">
      <c r="A317" s="2">
        <v>315</v>
      </c>
      <c r="B317" s="2" t="s">
        <v>748</v>
      </c>
      <c r="C317" t="s">
        <v>749</v>
      </c>
      <c r="D317" s="3" t="s">
        <v>1229</v>
      </c>
      <c r="E317" t="s">
        <v>1090</v>
      </c>
      <c r="F317">
        <v>16</v>
      </c>
      <c r="I317">
        <v>14.17</v>
      </c>
      <c r="J317">
        <v>0</v>
      </c>
      <c r="K317">
        <v>10</v>
      </c>
      <c r="L317">
        <v>226.72</v>
      </c>
      <c r="M317">
        <v>0</v>
      </c>
      <c r="N317">
        <v>160</v>
      </c>
      <c r="P317" s="3" t="s">
        <v>79</v>
      </c>
    </row>
    <row r="318" spans="1:16">
      <c r="A318" s="2">
        <v>316</v>
      </c>
      <c r="B318" s="2">
        <v>11</v>
      </c>
      <c r="C318" t="s">
        <v>1230</v>
      </c>
      <c r="I318">
        <v>0</v>
      </c>
      <c r="J318">
        <v>0</v>
      </c>
      <c r="K318">
        <v>0</v>
      </c>
      <c r="L318">
        <v>30869.7542443584</v>
      </c>
      <c r="M318">
        <v>6317.3</v>
      </c>
      <c r="N318">
        <v>17573.4</v>
      </c>
    </row>
    <row r="319" spans="1:16">
      <c r="A319" s="2">
        <v>317</v>
      </c>
      <c r="B319" s="2" t="s">
        <v>753</v>
      </c>
      <c r="C319" t="s">
        <v>1123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</row>
    <row r="320" ht="40.5" spans="1:16">
      <c r="A320" s="2">
        <v>318</v>
      </c>
      <c r="B320" s="2" t="s">
        <v>754</v>
      </c>
      <c r="C320" t="s">
        <v>1231</v>
      </c>
      <c r="D320" s="3" t="s">
        <v>756</v>
      </c>
      <c r="E320" t="s">
        <v>263</v>
      </c>
      <c r="F320">
        <v>1</v>
      </c>
      <c r="I320">
        <v>645.825</v>
      </c>
      <c r="J320">
        <v>0</v>
      </c>
      <c r="K320">
        <v>500</v>
      </c>
      <c r="L320">
        <v>645.825</v>
      </c>
      <c r="M320">
        <v>0</v>
      </c>
      <c r="N320">
        <v>500</v>
      </c>
      <c r="P320" s="3" t="s">
        <v>442</v>
      </c>
    </row>
    <row r="321" ht="27" spans="1:16">
      <c r="A321" s="2">
        <v>319</v>
      </c>
      <c r="B321" s="2" t="s">
        <v>757</v>
      </c>
      <c r="C321" t="s">
        <v>1232</v>
      </c>
      <c r="D321" s="3" t="s">
        <v>756</v>
      </c>
      <c r="E321" t="s">
        <v>263</v>
      </c>
      <c r="F321">
        <v>1</v>
      </c>
      <c r="I321">
        <v>645.825</v>
      </c>
      <c r="J321">
        <v>0</v>
      </c>
      <c r="K321">
        <v>500</v>
      </c>
      <c r="L321">
        <v>645.825</v>
      </c>
      <c r="M321">
        <v>0</v>
      </c>
      <c r="N321">
        <v>500</v>
      </c>
      <c r="P321" s="3" t="s">
        <v>79</v>
      </c>
    </row>
    <row r="322" ht="27" spans="1:16">
      <c r="A322" s="2">
        <v>320</v>
      </c>
      <c r="B322" s="2" t="s">
        <v>759</v>
      </c>
      <c r="C322" t="s">
        <v>1233</v>
      </c>
      <c r="D322" s="3" t="s">
        <v>756</v>
      </c>
      <c r="E322" t="s">
        <v>263</v>
      </c>
      <c r="F322">
        <v>1</v>
      </c>
      <c r="I322">
        <v>645.825</v>
      </c>
      <c r="J322">
        <v>0</v>
      </c>
      <c r="K322">
        <v>500</v>
      </c>
      <c r="L322">
        <v>645.825</v>
      </c>
      <c r="M322">
        <v>0</v>
      </c>
      <c r="N322">
        <v>500</v>
      </c>
      <c r="P322" s="3" t="s">
        <v>79</v>
      </c>
    </row>
    <row r="323" spans="1:16">
      <c r="A323" s="2">
        <v>321</v>
      </c>
      <c r="B323" s="2" t="s">
        <v>761</v>
      </c>
      <c r="C323" t="s">
        <v>1234</v>
      </c>
      <c r="E323" t="s">
        <v>263</v>
      </c>
      <c r="F323">
        <v>1</v>
      </c>
      <c r="I323">
        <v>645.825</v>
      </c>
      <c r="J323">
        <v>0</v>
      </c>
      <c r="K323">
        <v>500</v>
      </c>
      <c r="L323">
        <v>645.825</v>
      </c>
      <c r="M323">
        <v>0</v>
      </c>
      <c r="N323">
        <v>500</v>
      </c>
      <c r="P323" s="3" t="s">
        <v>79</v>
      </c>
    </row>
    <row r="324" spans="1:16">
      <c r="A324" s="2">
        <v>322</v>
      </c>
      <c r="B324" s="2" t="s">
        <v>763</v>
      </c>
      <c r="C324" t="s">
        <v>1235</v>
      </c>
      <c r="D324" s="3" t="s">
        <v>1236</v>
      </c>
      <c r="E324" t="s">
        <v>263</v>
      </c>
      <c r="F324">
        <v>1</v>
      </c>
      <c r="I324">
        <v>645.825</v>
      </c>
      <c r="J324">
        <v>0</v>
      </c>
      <c r="K324">
        <v>500</v>
      </c>
      <c r="L324">
        <v>645.825</v>
      </c>
      <c r="M324">
        <v>0</v>
      </c>
      <c r="N324">
        <v>500</v>
      </c>
      <c r="P324" s="3" t="s">
        <v>79</v>
      </c>
    </row>
    <row r="325" spans="1:16">
      <c r="A325" s="2">
        <v>323</v>
      </c>
      <c r="B325" s="2" t="s">
        <v>766</v>
      </c>
      <c r="C325" t="s">
        <v>1237</v>
      </c>
      <c r="E325" t="s">
        <v>263</v>
      </c>
      <c r="F325">
        <v>3</v>
      </c>
      <c r="I325">
        <v>645.825</v>
      </c>
      <c r="J325">
        <v>0</v>
      </c>
      <c r="K325">
        <v>500</v>
      </c>
      <c r="L325">
        <v>1937.475</v>
      </c>
      <c r="M325">
        <v>0</v>
      </c>
      <c r="N325">
        <v>1500</v>
      </c>
      <c r="P325" s="3" t="s">
        <v>79</v>
      </c>
    </row>
    <row r="326" spans="1:16">
      <c r="A326" s="2">
        <v>324</v>
      </c>
      <c r="B326" s="2" t="s">
        <v>768</v>
      </c>
      <c r="C326" t="s">
        <v>1238</v>
      </c>
      <c r="E326" t="s">
        <v>263</v>
      </c>
      <c r="F326">
        <v>3</v>
      </c>
      <c r="I326">
        <v>645.825</v>
      </c>
      <c r="J326">
        <v>0</v>
      </c>
      <c r="K326">
        <v>500</v>
      </c>
      <c r="L326">
        <v>1937.475</v>
      </c>
      <c r="M326">
        <v>0</v>
      </c>
      <c r="N326">
        <v>1500</v>
      </c>
      <c r="P326" s="3" t="s">
        <v>79</v>
      </c>
    </row>
    <row r="327" spans="1:16">
      <c r="A327" s="2">
        <v>325</v>
      </c>
      <c r="B327" s="2" t="s">
        <v>770</v>
      </c>
      <c r="C327" t="s">
        <v>1239</v>
      </c>
      <c r="E327" t="s">
        <v>263</v>
      </c>
      <c r="F327">
        <v>1</v>
      </c>
      <c r="I327">
        <v>645.825</v>
      </c>
      <c r="J327">
        <v>0</v>
      </c>
      <c r="K327">
        <v>500</v>
      </c>
      <c r="L327">
        <v>645.825</v>
      </c>
      <c r="M327">
        <v>0</v>
      </c>
      <c r="N327">
        <v>500</v>
      </c>
      <c r="P327" s="3" t="s">
        <v>79</v>
      </c>
    </row>
    <row r="328" spans="1:16">
      <c r="A328" s="2">
        <v>326</v>
      </c>
      <c r="B328" s="2">
        <v>11.2</v>
      </c>
      <c r="C328" t="s">
        <v>1129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</row>
    <row r="329" ht="27" spans="1:16">
      <c r="A329" s="2">
        <v>327</v>
      </c>
      <c r="B329" s="2" t="s">
        <v>772</v>
      </c>
      <c r="C329" t="s">
        <v>1240</v>
      </c>
      <c r="D329" s="3" t="s">
        <v>774</v>
      </c>
      <c r="E329" t="s">
        <v>468</v>
      </c>
      <c r="F329">
        <v>200</v>
      </c>
      <c r="I329">
        <v>6.196541</v>
      </c>
      <c r="K329">
        <v>4</v>
      </c>
      <c r="L329">
        <v>1239.3082</v>
      </c>
      <c r="M329">
        <v>0</v>
      </c>
      <c r="N329">
        <v>800</v>
      </c>
      <c r="P329" s="3" t="s">
        <v>629</v>
      </c>
    </row>
    <row r="330" spans="1:16">
      <c r="A330" s="2">
        <v>328</v>
      </c>
      <c r="B330" s="2" t="s">
        <v>775</v>
      </c>
      <c r="C330" t="s">
        <v>1241</v>
      </c>
      <c r="D330" s="3" t="s">
        <v>777</v>
      </c>
      <c r="E330" t="s">
        <v>468</v>
      </c>
      <c r="F330">
        <v>200</v>
      </c>
      <c r="I330">
        <v>5.75302</v>
      </c>
      <c r="K330">
        <v>4</v>
      </c>
      <c r="L330">
        <v>1150.604</v>
      </c>
      <c r="M330">
        <v>0</v>
      </c>
      <c r="N330">
        <v>800</v>
      </c>
      <c r="P330" s="3" t="s">
        <v>79</v>
      </c>
    </row>
    <row r="331" spans="1:16">
      <c r="A331" s="2">
        <v>329</v>
      </c>
      <c r="B331" s="2" t="s">
        <v>778</v>
      </c>
      <c r="C331" t="s">
        <v>779</v>
      </c>
      <c r="E331" t="s">
        <v>468</v>
      </c>
      <c r="F331">
        <v>500</v>
      </c>
      <c r="I331">
        <v>11.336</v>
      </c>
      <c r="J331">
        <v>0</v>
      </c>
      <c r="K331">
        <v>8</v>
      </c>
      <c r="L331">
        <v>5668</v>
      </c>
      <c r="M331">
        <v>0</v>
      </c>
      <c r="N331">
        <v>4000</v>
      </c>
      <c r="P331" s="3" t="s">
        <v>79</v>
      </c>
    </row>
    <row r="332" spans="1:16">
      <c r="A332" s="2">
        <v>330</v>
      </c>
      <c r="B332" s="2" t="s">
        <v>780</v>
      </c>
      <c r="C332" t="s">
        <v>781</v>
      </c>
      <c r="E332" t="s">
        <v>468</v>
      </c>
      <c r="F332">
        <v>150</v>
      </c>
      <c r="I332">
        <v>5.668</v>
      </c>
      <c r="J332">
        <v>0</v>
      </c>
      <c r="K332">
        <v>4</v>
      </c>
      <c r="L332">
        <v>850.2</v>
      </c>
      <c r="M332">
        <v>0</v>
      </c>
      <c r="N332">
        <v>600</v>
      </c>
      <c r="P332" s="3" t="s">
        <v>79</v>
      </c>
    </row>
    <row r="333" ht="27" spans="1:16">
      <c r="A333" s="2">
        <v>331</v>
      </c>
      <c r="B333" s="2" t="s">
        <v>782</v>
      </c>
      <c r="C333" t="s">
        <v>1141</v>
      </c>
      <c r="D333" s="3" t="s">
        <v>63</v>
      </c>
      <c r="E333" t="s">
        <v>64</v>
      </c>
      <c r="F333">
        <v>0.259</v>
      </c>
      <c r="I333">
        <v>8924.38705752212</v>
      </c>
      <c r="J333">
        <v>4700</v>
      </c>
      <c r="K333">
        <v>2600</v>
      </c>
      <c r="L333">
        <v>2311.41624789823</v>
      </c>
      <c r="M333">
        <v>1217.3</v>
      </c>
      <c r="N333">
        <v>673.4</v>
      </c>
      <c r="P333" s="3" t="s">
        <v>596</v>
      </c>
    </row>
    <row r="334" spans="1:16">
      <c r="A334" s="2">
        <v>332</v>
      </c>
      <c r="B334" s="2" t="s">
        <v>783</v>
      </c>
      <c r="C334" t="s">
        <v>349</v>
      </c>
      <c r="D334" s="3" t="s">
        <v>63</v>
      </c>
      <c r="E334" t="s">
        <v>468</v>
      </c>
      <c r="F334">
        <v>100</v>
      </c>
      <c r="I334">
        <v>60.124592920354</v>
      </c>
      <c r="J334">
        <v>30</v>
      </c>
      <c r="K334">
        <v>20</v>
      </c>
      <c r="L334">
        <v>6012.4592920354</v>
      </c>
      <c r="M334">
        <v>3000</v>
      </c>
      <c r="N334">
        <v>2000</v>
      </c>
      <c r="P334" s="3" t="s">
        <v>79</v>
      </c>
    </row>
    <row r="335" spans="1:16">
      <c r="A335" s="2">
        <v>333</v>
      </c>
      <c r="B335" s="2" t="s">
        <v>784</v>
      </c>
      <c r="C335" t="s">
        <v>1242</v>
      </c>
      <c r="D335" s="3" t="s">
        <v>338</v>
      </c>
      <c r="E335" t="s">
        <v>468</v>
      </c>
      <c r="F335">
        <v>150</v>
      </c>
      <c r="I335">
        <v>39.2524433628319</v>
      </c>
      <c r="J335">
        <v>14</v>
      </c>
      <c r="K335">
        <v>18</v>
      </c>
      <c r="L335">
        <v>5887.86650442478</v>
      </c>
      <c r="M335">
        <v>2100</v>
      </c>
      <c r="N335">
        <v>2700</v>
      </c>
      <c r="P335" s="3" t="s">
        <v>79</v>
      </c>
    </row>
    <row r="336" spans="1:16">
      <c r="A336" s="2">
        <v>334</v>
      </c>
      <c r="B336" s="2">
        <v>12</v>
      </c>
      <c r="C336" t="s">
        <v>1243</v>
      </c>
      <c r="I336">
        <v>0</v>
      </c>
      <c r="J336">
        <v>0</v>
      </c>
      <c r="K336">
        <v>0</v>
      </c>
      <c r="L336">
        <v>19043.1904115469</v>
      </c>
      <c r="M336">
        <v>1602</v>
      </c>
      <c r="N336">
        <v>13124</v>
      </c>
    </row>
    <row r="337" spans="1:16">
      <c r="A337" s="2">
        <v>335</v>
      </c>
      <c r="B337" s="2" t="s">
        <v>787</v>
      </c>
      <c r="C337" t="s">
        <v>1123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ht="40.5" spans="1:16">
      <c r="A338" s="2">
        <v>336</v>
      </c>
      <c r="B338" s="2" t="s">
        <v>788</v>
      </c>
      <c r="C338" t="s">
        <v>1244</v>
      </c>
      <c r="E338" t="s">
        <v>263</v>
      </c>
      <c r="F338">
        <v>1</v>
      </c>
      <c r="I338">
        <v>645.825</v>
      </c>
      <c r="J338">
        <v>0</v>
      </c>
      <c r="K338">
        <v>500</v>
      </c>
      <c r="L338">
        <v>645.825</v>
      </c>
      <c r="M338">
        <v>0</v>
      </c>
      <c r="N338">
        <v>500</v>
      </c>
      <c r="P338" s="3" t="s">
        <v>442</v>
      </c>
    </row>
    <row r="339" spans="1:16">
      <c r="A339" s="2">
        <v>337</v>
      </c>
      <c r="B339" s="2" t="s">
        <v>790</v>
      </c>
      <c r="C339" t="s">
        <v>1245</v>
      </c>
      <c r="E339" t="s">
        <v>263</v>
      </c>
      <c r="F339">
        <v>1</v>
      </c>
      <c r="I339">
        <v>645.825</v>
      </c>
      <c r="J339">
        <v>0</v>
      </c>
      <c r="K339">
        <v>500</v>
      </c>
      <c r="L339">
        <v>645.825</v>
      </c>
      <c r="M339">
        <v>0</v>
      </c>
      <c r="N339">
        <v>500</v>
      </c>
      <c r="P339" s="3" t="s">
        <v>79</v>
      </c>
    </row>
    <row r="340" spans="1:16">
      <c r="A340" s="2">
        <v>338</v>
      </c>
      <c r="B340" s="2" t="s">
        <v>792</v>
      </c>
      <c r="C340" t="s">
        <v>1246</v>
      </c>
      <c r="E340" t="s">
        <v>263</v>
      </c>
      <c r="F340">
        <v>1</v>
      </c>
      <c r="I340">
        <v>645.825</v>
      </c>
      <c r="J340">
        <v>0</v>
      </c>
      <c r="K340">
        <v>500</v>
      </c>
      <c r="L340">
        <v>645.825</v>
      </c>
      <c r="M340">
        <v>0</v>
      </c>
      <c r="N340">
        <v>500</v>
      </c>
      <c r="P340" s="3" t="s">
        <v>79</v>
      </c>
    </row>
    <row r="341" spans="1:16">
      <c r="A341" s="2">
        <v>339</v>
      </c>
      <c r="B341" s="2" t="s">
        <v>794</v>
      </c>
      <c r="C341" t="s">
        <v>1247</v>
      </c>
      <c r="E341" t="s">
        <v>263</v>
      </c>
      <c r="F341">
        <v>1</v>
      </c>
      <c r="I341">
        <v>645.825</v>
      </c>
      <c r="J341">
        <v>0</v>
      </c>
      <c r="K341">
        <v>500</v>
      </c>
      <c r="L341">
        <v>645.825</v>
      </c>
      <c r="M341">
        <v>0</v>
      </c>
      <c r="N341">
        <v>500</v>
      </c>
      <c r="P341" s="3" t="s">
        <v>79</v>
      </c>
    </row>
    <row r="342" spans="1:16">
      <c r="A342" s="2">
        <v>340</v>
      </c>
      <c r="B342" s="2" t="s">
        <v>796</v>
      </c>
      <c r="C342" t="s">
        <v>1248</v>
      </c>
      <c r="D342" s="3" t="s">
        <v>798</v>
      </c>
      <c r="E342" t="s">
        <v>263</v>
      </c>
      <c r="F342">
        <v>1</v>
      </c>
      <c r="I342">
        <v>645.825</v>
      </c>
      <c r="J342">
        <v>0</v>
      </c>
      <c r="K342">
        <v>500</v>
      </c>
      <c r="L342">
        <v>645.825</v>
      </c>
      <c r="M342">
        <v>0</v>
      </c>
      <c r="N342">
        <v>500</v>
      </c>
      <c r="P342" s="3" t="s">
        <v>79</v>
      </c>
    </row>
    <row r="343" spans="1:16">
      <c r="A343" s="2">
        <v>341</v>
      </c>
      <c r="B343" s="2" t="s">
        <v>799</v>
      </c>
      <c r="C343" t="s">
        <v>1249</v>
      </c>
      <c r="D343" s="3" t="s">
        <v>1250</v>
      </c>
      <c r="E343" t="s">
        <v>263</v>
      </c>
      <c r="F343">
        <v>1</v>
      </c>
      <c r="I343">
        <v>387.495</v>
      </c>
      <c r="J343">
        <v>0</v>
      </c>
      <c r="K343">
        <v>300</v>
      </c>
      <c r="L343">
        <v>387.495</v>
      </c>
      <c r="M343">
        <v>0</v>
      </c>
      <c r="N343">
        <v>300</v>
      </c>
      <c r="P343" s="3" t="s">
        <v>79</v>
      </c>
    </row>
    <row r="344" spans="1:16">
      <c r="A344" s="2">
        <v>342</v>
      </c>
      <c r="B344" s="2" t="s">
        <v>802</v>
      </c>
      <c r="C344" t="s">
        <v>1251</v>
      </c>
      <c r="D344" s="3" t="s">
        <v>1252</v>
      </c>
      <c r="E344" t="s">
        <v>234</v>
      </c>
      <c r="F344">
        <v>1</v>
      </c>
      <c r="I344">
        <v>645.825</v>
      </c>
      <c r="J344">
        <v>0</v>
      </c>
      <c r="K344">
        <v>500</v>
      </c>
      <c r="L344">
        <v>645.825</v>
      </c>
      <c r="M344">
        <v>0</v>
      </c>
      <c r="N344">
        <v>500</v>
      </c>
      <c r="P344" s="3" t="s">
        <v>79</v>
      </c>
    </row>
    <row r="345" spans="1:16">
      <c r="A345" s="2">
        <v>343</v>
      </c>
      <c r="B345" s="2" t="s">
        <v>805</v>
      </c>
      <c r="C345" t="s">
        <v>1253</v>
      </c>
      <c r="D345" s="3" t="s">
        <v>1254</v>
      </c>
      <c r="E345" t="s">
        <v>234</v>
      </c>
      <c r="F345">
        <v>4</v>
      </c>
      <c r="I345">
        <v>387.495</v>
      </c>
      <c r="J345">
        <v>0</v>
      </c>
      <c r="K345">
        <v>300</v>
      </c>
      <c r="L345">
        <v>1549.98</v>
      </c>
      <c r="M345">
        <v>0</v>
      </c>
      <c r="N345">
        <v>1200</v>
      </c>
      <c r="P345" s="3" t="s">
        <v>79</v>
      </c>
    </row>
    <row r="346" ht="27" spans="1:16">
      <c r="A346" s="2">
        <v>344</v>
      </c>
      <c r="B346" s="2" t="s">
        <v>808</v>
      </c>
      <c r="C346" t="s">
        <v>1255</v>
      </c>
      <c r="D346" s="3" t="s">
        <v>810</v>
      </c>
      <c r="E346" t="s">
        <v>234</v>
      </c>
      <c r="F346">
        <v>32</v>
      </c>
      <c r="I346">
        <v>258.33</v>
      </c>
      <c r="J346">
        <v>0</v>
      </c>
      <c r="K346">
        <v>200</v>
      </c>
      <c r="L346">
        <v>8266.56</v>
      </c>
      <c r="M346">
        <v>0</v>
      </c>
      <c r="N346">
        <v>6400</v>
      </c>
      <c r="P346" s="3" t="s">
        <v>79</v>
      </c>
    </row>
    <row r="347" spans="1:16">
      <c r="A347" s="2">
        <v>345</v>
      </c>
      <c r="B347" s="2">
        <v>12.2</v>
      </c>
      <c r="C347" t="s">
        <v>1129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</row>
    <row r="348" ht="27" spans="1:16">
      <c r="A348" s="2">
        <v>346</v>
      </c>
      <c r="B348" s="2" t="s">
        <v>811</v>
      </c>
      <c r="C348" t="s">
        <v>1141</v>
      </c>
      <c r="D348" s="3" t="s">
        <v>63</v>
      </c>
      <c r="E348" t="s">
        <v>64</v>
      </c>
      <c r="F348">
        <v>0.16</v>
      </c>
      <c r="I348">
        <v>8924.38705752212</v>
      </c>
      <c r="J348">
        <v>4700</v>
      </c>
      <c r="K348">
        <v>2600</v>
      </c>
      <c r="L348">
        <v>1427.90192920354</v>
      </c>
      <c r="M348">
        <v>752</v>
      </c>
      <c r="N348">
        <v>416</v>
      </c>
      <c r="P348" s="3" t="s">
        <v>596</v>
      </c>
    </row>
    <row r="349" spans="1:16">
      <c r="A349" s="2">
        <v>347</v>
      </c>
      <c r="B349" s="2" t="s">
        <v>812</v>
      </c>
      <c r="C349" t="s">
        <v>1256</v>
      </c>
      <c r="D349" s="3" t="s">
        <v>814</v>
      </c>
      <c r="E349" t="s">
        <v>468</v>
      </c>
      <c r="F349">
        <v>30</v>
      </c>
      <c r="I349">
        <v>29.3193119469027</v>
      </c>
      <c r="J349">
        <v>20</v>
      </c>
      <c r="K349">
        <v>5</v>
      </c>
      <c r="L349">
        <v>879.579358407081</v>
      </c>
      <c r="M349">
        <v>600</v>
      </c>
      <c r="N349">
        <v>150</v>
      </c>
      <c r="P349" s="3" t="s">
        <v>79</v>
      </c>
    </row>
    <row r="350" spans="1:16">
      <c r="A350" s="2">
        <v>348</v>
      </c>
      <c r="B350" s="2" t="s">
        <v>815</v>
      </c>
      <c r="C350" t="s">
        <v>1257</v>
      </c>
      <c r="D350" s="3" t="s">
        <v>1258</v>
      </c>
      <c r="E350" t="s">
        <v>74</v>
      </c>
      <c r="F350">
        <v>1</v>
      </c>
      <c r="I350">
        <v>350.345774336283</v>
      </c>
      <c r="J350">
        <v>250</v>
      </c>
      <c r="K350">
        <v>50</v>
      </c>
      <c r="L350">
        <v>350.345774336283</v>
      </c>
      <c r="M350">
        <v>250</v>
      </c>
      <c r="N350">
        <v>50</v>
      </c>
      <c r="P350" s="3" t="s">
        <v>98</v>
      </c>
    </row>
    <row r="351" ht="27" spans="1:16">
      <c r="A351" s="2">
        <v>349</v>
      </c>
      <c r="B351" s="2" t="s">
        <v>818</v>
      </c>
      <c r="C351" t="s">
        <v>1259</v>
      </c>
      <c r="D351" s="3" t="s">
        <v>820</v>
      </c>
      <c r="E351" t="s">
        <v>468</v>
      </c>
      <c r="F351">
        <v>160</v>
      </c>
      <c r="I351">
        <v>11.43519</v>
      </c>
      <c r="K351">
        <v>8</v>
      </c>
      <c r="L351">
        <v>1829.6304</v>
      </c>
      <c r="M351">
        <v>0</v>
      </c>
      <c r="N351">
        <v>1280</v>
      </c>
      <c r="P351" s="3" t="s">
        <v>629</v>
      </c>
    </row>
    <row r="352" spans="1:16">
      <c r="A352" s="2">
        <v>350</v>
      </c>
      <c r="B352" s="2" t="s">
        <v>821</v>
      </c>
      <c r="C352" t="s">
        <v>1260</v>
      </c>
      <c r="D352" s="3" t="s">
        <v>823</v>
      </c>
      <c r="E352" t="s">
        <v>468</v>
      </c>
      <c r="F352">
        <v>80</v>
      </c>
      <c r="I352">
        <v>5.815368</v>
      </c>
      <c r="K352">
        <v>4</v>
      </c>
      <c r="L352">
        <v>465.22944</v>
      </c>
      <c r="M352">
        <v>0</v>
      </c>
      <c r="N352">
        <v>320</v>
      </c>
      <c r="P352" s="3" t="s">
        <v>79</v>
      </c>
    </row>
    <row r="353" spans="1:16">
      <c r="A353" s="2">
        <v>351</v>
      </c>
      <c r="B353" s="2" t="s">
        <v>824</v>
      </c>
      <c r="C353" t="s">
        <v>1261</v>
      </c>
      <c r="D353" s="3" t="s">
        <v>826</v>
      </c>
      <c r="E353" t="s">
        <v>468</v>
      </c>
      <c r="F353">
        <v>2</v>
      </c>
      <c r="I353">
        <v>5.7592548</v>
      </c>
      <c r="K353">
        <v>4</v>
      </c>
      <c r="L353">
        <v>11.5185096</v>
      </c>
      <c r="M353">
        <v>0</v>
      </c>
      <c r="N353">
        <v>8</v>
      </c>
      <c r="P353" s="3" t="s">
        <v>79</v>
      </c>
    </row>
    <row r="354" spans="1:16">
      <c r="A354" s="2">
        <v>352</v>
      </c>
      <c r="B354" s="2">
        <v>13</v>
      </c>
      <c r="C354" t="s">
        <v>1262</v>
      </c>
      <c r="I354">
        <v>0</v>
      </c>
      <c r="J354">
        <v>0</v>
      </c>
      <c r="K354">
        <v>0</v>
      </c>
      <c r="L354">
        <v>219302.282535221</v>
      </c>
      <c r="M354">
        <v>25756</v>
      </c>
      <c r="N354">
        <v>136668</v>
      </c>
    </row>
    <row r="355" spans="1:16">
      <c r="A355" s="2">
        <v>353</v>
      </c>
      <c r="B355" s="2" t="s">
        <v>828</v>
      </c>
      <c r="C355" t="s">
        <v>1123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</row>
    <row r="356" ht="40.5" spans="1:16">
      <c r="A356" s="2">
        <v>354</v>
      </c>
      <c r="B356" s="2" t="s">
        <v>829</v>
      </c>
      <c r="C356" t="s">
        <v>1263</v>
      </c>
      <c r="D356" s="3" t="s">
        <v>1264</v>
      </c>
      <c r="E356" t="s">
        <v>234</v>
      </c>
      <c r="F356">
        <v>1</v>
      </c>
      <c r="I356">
        <v>387.495</v>
      </c>
      <c r="J356">
        <v>0</v>
      </c>
      <c r="K356">
        <v>300</v>
      </c>
      <c r="L356">
        <v>387.495</v>
      </c>
      <c r="M356">
        <v>0</v>
      </c>
      <c r="N356">
        <v>300</v>
      </c>
      <c r="P356" s="3" t="s">
        <v>442</v>
      </c>
    </row>
    <row r="357" ht="40.5" spans="1:16">
      <c r="A357" s="2">
        <v>355</v>
      </c>
      <c r="B357" s="2" t="s">
        <v>832</v>
      </c>
      <c r="C357" t="s">
        <v>833</v>
      </c>
      <c r="D357" s="3" t="s">
        <v>1265</v>
      </c>
      <c r="E357" t="s">
        <v>234</v>
      </c>
      <c r="F357">
        <v>1</v>
      </c>
      <c r="I357">
        <v>25833</v>
      </c>
      <c r="J357">
        <v>0</v>
      </c>
      <c r="K357">
        <v>20000</v>
      </c>
      <c r="L357">
        <v>25833</v>
      </c>
      <c r="M357">
        <v>0</v>
      </c>
      <c r="N357">
        <v>20000</v>
      </c>
      <c r="P357" s="3" t="s">
        <v>442</v>
      </c>
    </row>
    <row r="358" ht="40.5" spans="1:16">
      <c r="A358" s="2">
        <v>356</v>
      </c>
      <c r="B358" s="2" t="s">
        <v>835</v>
      </c>
      <c r="C358" t="s">
        <v>1266</v>
      </c>
      <c r="D358" s="3" t="s">
        <v>1267</v>
      </c>
      <c r="E358" t="s">
        <v>234</v>
      </c>
      <c r="F358">
        <v>1</v>
      </c>
      <c r="I358">
        <v>6458.25</v>
      </c>
      <c r="J358">
        <v>0</v>
      </c>
      <c r="K358">
        <v>5000</v>
      </c>
      <c r="L358">
        <v>6458.25</v>
      </c>
      <c r="M358">
        <v>0</v>
      </c>
      <c r="N358">
        <v>5000</v>
      </c>
      <c r="P358" s="3" t="s">
        <v>442</v>
      </c>
    </row>
    <row r="359" ht="40.5" spans="1:16">
      <c r="A359" s="2">
        <v>357</v>
      </c>
      <c r="B359" s="2" t="s">
        <v>838</v>
      </c>
      <c r="C359" t="s">
        <v>1268</v>
      </c>
      <c r="D359" s="3" t="s">
        <v>1269</v>
      </c>
      <c r="E359" t="s">
        <v>234</v>
      </c>
      <c r="F359">
        <v>1</v>
      </c>
      <c r="I359">
        <v>12916.5</v>
      </c>
      <c r="J359">
        <v>0</v>
      </c>
      <c r="K359">
        <v>10000</v>
      </c>
      <c r="L359">
        <v>12916.5</v>
      </c>
      <c r="M359">
        <v>0</v>
      </c>
      <c r="N359">
        <v>10000</v>
      </c>
      <c r="P359" s="3" t="s">
        <v>841</v>
      </c>
    </row>
    <row r="360" spans="1:16">
      <c r="A360" s="2">
        <v>358</v>
      </c>
      <c r="B360" s="2">
        <v>13.2</v>
      </c>
      <c r="C360" t="s">
        <v>1129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</row>
    <row r="361" ht="27" spans="1:16">
      <c r="A361" s="2">
        <v>359</v>
      </c>
      <c r="B361" s="2" t="s">
        <v>842</v>
      </c>
      <c r="C361" t="s">
        <v>1270</v>
      </c>
      <c r="D361" s="3" t="s">
        <v>844</v>
      </c>
      <c r="E361" t="s">
        <v>468</v>
      </c>
      <c r="F361">
        <v>1000</v>
      </c>
      <c r="I361">
        <v>5.75302</v>
      </c>
      <c r="K361">
        <v>4</v>
      </c>
      <c r="L361">
        <v>5753.02</v>
      </c>
      <c r="M361">
        <v>0</v>
      </c>
      <c r="N361">
        <v>4000</v>
      </c>
      <c r="P361" s="3" t="s">
        <v>629</v>
      </c>
    </row>
    <row r="362" spans="1:16">
      <c r="A362" s="2">
        <v>360</v>
      </c>
      <c r="B362" s="2" t="s">
        <v>845</v>
      </c>
      <c r="C362" t="s">
        <v>1271</v>
      </c>
      <c r="D362" s="3" t="s">
        <v>847</v>
      </c>
      <c r="E362" t="s">
        <v>468</v>
      </c>
      <c r="F362">
        <v>1600</v>
      </c>
      <c r="I362">
        <v>5.721846</v>
      </c>
      <c r="K362">
        <v>4</v>
      </c>
      <c r="L362">
        <v>9154.9536</v>
      </c>
      <c r="M362">
        <v>0</v>
      </c>
      <c r="N362">
        <v>6400</v>
      </c>
      <c r="P362" s="3" t="s">
        <v>79</v>
      </c>
    </row>
    <row r="363" spans="1:16">
      <c r="A363" s="2">
        <v>361</v>
      </c>
      <c r="B363" s="2" t="s">
        <v>848</v>
      </c>
      <c r="C363" t="s">
        <v>1272</v>
      </c>
      <c r="D363" s="3" t="s">
        <v>1273</v>
      </c>
      <c r="E363" t="s">
        <v>468</v>
      </c>
      <c r="F363">
        <v>4000</v>
      </c>
      <c r="I363">
        <v>11.3539959</v>
      </c>
      <c r="K363">
        <v>8</v>
      </c>
      <c r="L363">
        <v>45415.9836</v>
      </c>
      <c r="M363">
        <v>0</v>
      </c>
      <c r="N363">
        <v>32000</v>
      </c>
      <c r="P363" s="3" t="s">
        <v>79</v>
      </c>
    </row>
    <row r="364" spans="1:16">
      <c r="A364" s="2">
        <v>362</v>
      </c>
      <c r="B364" s="2" t="s">
        <v>851</v>
      </c>
      <c r="C364" t="s">
        <v>1272</v>
      </c>
      <c r="D364" s="3" t="s">
        <v>1274</v>
      </c>
      <c r="E364" t="s">
        <v>468</v>
      </c>
      <c r="F364">
        <v>1000</v>
      </c>
      <c r="I364">
        <v>11.3739756</v>
      </c>
      <c r="K364">
        <v>8</v>
      </c>
      <c r="L364">
        <v>11373.9756</v>
      </c>
      <c r="M364">
        <v>0</v>
      </c>
      <c r="N364">
        <v>8000</v>
      </c>
      <c r="P364" s="3" t="s">
        <v>79</v>
      </c>
    </row>
    <row r="365" spans="1:16">
      <c r="A365" s="2">
        <v>363</v>
      </c>
      <c r="B365" s="2" t="s">
        <v>853</v>
      </c>
      <c r="C365" t="s">
        <v>1275</v>
      </c>
      <c r="D365" s="3" t="s">
        <v>1276</v>
      </c>
      <c r="E365" t="s">
        <v>1277</v>
      </c>
      <c r="F365">
        <v>20</v>
      </c>
      <c r="I365">
        <v>11.80361</v>
      </c>
      <c r="K365">
        <v>8</v>
      </c>
      <c r="L365">
        <v>236.0722</v>
      </c>
      <c r="M365">
        <v>0</v>
      </c>
      <c r="N365">
        <v>160</v>
      </c>
      <c r="P365" s="3" t="s">
        <v>79</v>
      </c>
    </row>
    <row r="366" spans="1:16">
      <c r="A366" s="2">
        <v>364</v>
      </c>
      <c r="B366" s="2" t="s">
        <v>857</v>
      </c>
      <c r="C366" t="s">
        <v>1278</v>
      </c>
      <c r="D366" s="3" t="s">
        <v>1279</v>
      </c>
      <c r="E366" t="s">
        <v>1277</v>
      </c>
      <c r="F366">
        <v>20</v>
      </c>
      <c r="I366">
        <v>11.54855</v>
      </c>
      <c r="K366">
        <v>8</v>
      </c>
      <c r="L366">
        <v>230.971</v>
      </c>
      <c r="M366">
        <v>0</v>
      </c>
      <c r="N366">
        <v>160</v>
      </c>
      <c r="P366" s="3" t="s">
        <v>79</v>
      </c>
    </row>
    <row r="367" spans="1:16">
      <c r="A367" s="2">
        <v>365</v>
      </c>
      <c r="B367" s="2" t="s">
        <v>860</v>
      </c>
      <c r="C367" t="s">
        <v>1280</v>
      </c>
      <c r="D367" s="3" t="s">
        <v>862</v>
      </c>
      <c r="E367" t="s">
        <v>468</v>
      </c>
      <c r="F367">
        <v>500</v>
      </c>
      <c r="I367">
        <v>5.7613803</v>
      </c>
      <c r="K367">
        <v>4</v>
      </c>
      <c r="L367">
        <v>2880.69015</v>
      </c>
      <c r="M367">
        <v>0</v>
      </c>
      <c r="N367">
        <v>2000</v>
      </c>
      <c r="P367" s="3" t="s">
        <v>79</v>
      </c>
    </row>
    <row r="368" spans="1:16">
      <c r="A368" s="2">
        <v>366</v>
      </c>
      <c r="B368" s="2" t="s">
        <v>863</v>
      </c>
      <c r="C368" t="s">
        <v>1281</v>
      </c>
      <c r="D368" s="3" t="s">
        <v>865</v>
      </c>
      <c r="E368" t="s">
        <v>468</v>
      </c>
      <c r="F368">
        <v>500</v>
      </c>
      <c r="I368">
        <v>5.855044</v>
      </c>
      <c r="K368">
        <v>4</v>
      </c>
      <c r="L368">
        <v>2927.522</v>
      </c>
      <c r="M368">
        <v>0</v>
      </c>
      <c r="N368">
        <v>2000</v>
      </c>
      <c r="P368" s="3" t="s">
        <v>79</v>
      </c>
    </row>
    <row r="369" spans="1:16">
      <c r="A369" s="2">
        <v>367</v>
      </c>
      <c r="B369" s="2" t="s">
        <v>866</v>
      </c>
      <c r="C369" t="s">
        <v>1280</v>
      </c>
      <c r="D369" s="3" t="s">
        <v>862</v>
      </c>
      <c r="E369" t="s">
        <v>468</v>
      </c>
      <c r="F369">
        <v>2500</v>
      </c>
      <c r="I369">
        <v>5.7613803</v>
      </c>
      <c r="K369">
        <v>4</v>
      </c>
      <c r="L369">
        <v>14403.45075</v>
      </c>
      <c r="M369">
        <v>0</v>
      </c>
      <c r="N369">
        <v>10000</v>
      </c>
      <c r="P369" s="3" t="s">
        <v>79</v>
      </c>
    </row>
    <row r="370" spans="1:16">
      <c r="A370" s="2">
        <v>368</v>
      </c>
      <c r="B370" s="2" t="s">
        <v>867</v>
      </c>
      <c r="C370" t="s">
        <v>1280</v>
      </c>
      <c r="D370" s="3" t="s">
        <v>868</v>
      </c>
      <c r="E370" t="s">
        <v>468</v>
      </c>
      <c r="F370">
        <v>4000</v>
      </c>
      <c r="I370">
        <v>5.8050239</v>
      </c>
      <c r="K370">
        <v>4</v>
      </c>
      <c r="L370">
        <v>23220.0956</v>
      </c>
      <c r="M370">
        <v>0</v>
      </c>
      <c r="N370">
        <v>16000</v>
      </c>
      <c r="P370" s="3" t="s">
        <v>79</v>
      </c>
    </row>
    <row r="371" spans="1:16">
      <c r="A371" s="2">
        <v>369</v>
      </c>
      <c r="B371" s="2" t="s">
        <v>869</v>
      </c>
      <c r="C371" t="s">
        <v>1282</v>
      </c>
      <c r="D371" s="3" t="s">
        <v>871</v>
      </c>
      <c r="E371" t="s">
        <v>468</v>
      </c>
      <c r="F371">
        <v>400</v>
      </c>
      <c r="I371">
        <v>5.7397002</v>
      </c>
      <c r="K371">
        <v>4</v>
      </c>
      <c r="L371">
        <v>2295.88008</v>
      </c>
      <c r="M371">
        <v>0</v>
      </c>
      <c r="N371">
        <v>1600</v>
      </c>
      <c r="P371" s="3" t="s">
        <v>79</v>
      </c>
    </row>
    <row r="372" spans="1:16">
      <c r="A372" s="2">
        <v>370</v>
      </c>
      <c r="B372" s="2" t="s">
        <v>872</v>
      </c>
      <c r="C372" t="s">
        <v>1282</v>
      </c>
      <c r="D372" s="3" t="s">
        <v>873</v>
      </c>
      <c r="E372" t="s">
        <v>468</v>
      </c>
      <c r="F372">
        <v>800</v>
      </c>
      <c r="I372">
        <v>5.7705908</v>
      </c>
      <c r="K372">
        <v>4</v>
      </c>
      <c r="L372">
        <v>4616.47264</v>
      </c>
      <c r="M372">
        <v>0</v>
      </c>
      <c r="N372">
        <v>3200</v>
      </c>
      <c r="P372" s="3" t="s">
        <v>79</v>
      </c>
    </row>
    <row r="373" spans="1:16">
      <c r="A373" s="2">
        <v>371</v>
      </c>
      <c r="B373" s="2" t="s">
        <v>874</v>
      </c>
      <c r="C373" t="s">
        <v>1282</v>
      </c>
      <c r="D373" s="3" t="s">
        <v>875</v>
      </c>
      <c r="E373" t="s">
        <v>468</v>
      </c>
      <c r="F373">
        <v>400</v>
      </c>
      <c r="I373">
        <v>5.7307731</v>
      </c>
      <c r="K373">
        <v>4</v>
      </c>
      <c r="L373">
        <v>2292.30924</v>
      </c>
      <c r="M373">
        <v>0</v>
      </c>
      <c r="N373">
        <v>1600</v>
      </c>
      <c r="P373" s="3" t="s">
        <v>79</v>
      </c>
    </row>
    <row r="374" ht="27" spans="1:16">
      <c r="A374" s="2">
        <v>372</v>
      </c>
      <c r="B374" s="2" t="s">
        <v>876</v>
      </c>
      <c r="C374" t="s">
        <v>1141</v>
      </c>
      <c r="D374" s="3" t="s">
        <v>63</v>
      </c>
      <c r="E374" t="s">
        <v>64</v>
      </c>
      <c r="F374">
        <v>5.48</v>
      </c>
      <c r="I374">
        <v>8924.38705752212</v>
      </c>
      <c r="J374">
        <v>4700</v>
      </c>
      <c r="K374">
        <v>2600</v>
      </c>
      <c r="L374">
        <v>48905.6410752212</v>
      </c>
      <c r="M374">
        <v>25756</v>
      </c>
      <c r="N374">
        <v>14248</v>
      </c>
      <c r="P374" s="3" t="s">
        <v>596</v>
      </c>
    </row>
    <row r="375" spans="1:16">
      <c r="A375" s="2">
        <v>373</v>
      </c>
      <c r="B375" s="2">
        <v>14</v>
      </c>
      <c r="C375" t="s">
        <v>1283</v>
      </c>
      <c r="I375">
        <v>0</v>
      </c>
      <c r="J375">
        <v>0</v>
      </c>
      <c r="K375">
        <v>0</v>
      </c>
      <c r="L375">
        <v>1290818.43065178</v>
      </c>
      <c r="M375">
        <v>428691.062</v>
      </c>
      <c r="N375">
        <v>204200</v>
      </c>
    </row>
    <row r="376" ht="40.5" spans="1:16">
      <c r="A376" s="2">
        <v>374</v>
      </c>
      <c r="B376" s="2" t="s">
        <v>878</v>
      </c>
      <c r="C376" t="s">
        <v>1284</v>
      </c>
      <c r="D376" s="3" t="s">
        <v>1285</v>
      </c>
      <c r="E376" t="s">
        <v>263</v>
      </c>
      <c r="F376">
        <v>2</v>
      </c>
      <c r="G376">
        <v>3</v>
      </c>
      <c r="H376">
        <v>6</v>
      </c>
      <c r="I376">
        <v>28866.32</v>
      </c>
      <c r="J376">
        <v>0</v>
      </c>
      <c r="K376">
        <v>20000</v>
      </c>
      <c r="L376">
        <v>57732.64</v>
      </c>
      <c r="M376">
        <v>0</v>
      </c>
      <c r="N376">
        <v>40000</v>
      </c>
      <c r="P376" s="3" t="s">
        <v>442</v>
      </c>
    </row>
    <row r="377" spans="1:16">
      <c r="A377" s="2">
        <v>375</v>
      </c>
      <c r="B377" s="2">
        <v>14.2</v>
      </c>
      <c r="C377" t="s">
        <v>1129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</row>
    <row r="378" ht="54" spans="1:16">
      <c r="A378" s="2">
        <v>376</v>
      </c>
      <c r="B378" s="2" t="s">
        <v>881</v>
      </c>
      <c r="C378" t="s">
        <v>1286</v>
      </c>
      <c r="D378" s="3" t="s">
        <v>115</v>
      </c>
      <c r="E378" t="s">
        <v>59</v>
      </c>
      <c r="F378">
        <v>150</v>
      </c>
      <c r="I378">
        <v>1020.20900155752</v>
      </c>
      <c r="J378">
        <v>260</v>
      </c>
      <c r="K378">
        <v>335</v>
      </c>
      <c r="L378">
        <v>153031.350233628</v>
      </c>
      <c r="M378">
        <v>39000</v>
      </c>
      <c r="N378">
        <v>50250</v>
      </c>
      <c r="P378" s="3" t="s">
        <v>60</v>
      </c>
    </row>
    <row r="379" ht="27" spans="1:16">
      <c r="A379" s="2">
        <v>377</v>
      </c>
      <c r="B379" s="2" t="s">
        <v>883</v>
      </c>
      <c r="C379" t="s">
        <v>1287</v>
      </c>
      <c r="D379" s="3" t="s">
        <v>1288</v>
      </c>
      <c r="E379" t="s">
        <v>1056</v>
      </c>
      <c r="F379">
        <v>520</v>
      </c>
      <c r="I379">
        <v>117.352123881062</v>
      </c>
      <c r="J379">
        <v>10.44435</v>
      </c>
      <c r="K379">
        <v>50</v>
      </c>
      <c r="L379">
        <v>61023.1044181521</v>
      </c>
      <c r="M379">
        <v>5431.062</v>
      </c>
      <c r="N379">
        <v>26000</v>
      </c>
      <c r="P379" s="3" t="s">
        <v>98</v>
      </c>
    </row>
    <row r="380" spans="1:16">
      <c r="A380" s="2">
        <v>378</v>
      </c>
      <c r="B380" s="2" t="s">
        <v>887</v>
      </c>
      <c r="C380" t="s">
        <v>1289</v>
      </c>
      <c r="D380" s="3" t="s">
        <v>1290</v>
      </c>
      <c r="E380" t="s">
        <v>1146</v>
      </c>
      <c r="F380">
        <v>2</v>
      </c>
      <c r="I380">
        <v>26299.52</v>
      </c>
      <c r="J380">
        <v>0</v>
      </c>
      <c r="K380">
        <v>0</v>
      </c>
      <c r="L380">
        <v>52599.04</v>
      </c>
      <c r="M380">
        <v>0</v>
      </c>
      <c r="N380">
        <v>0</v>
      </c>
      <c r="P380" s="3" t="s">
        <v>890</v>
      </c>
    </row>
    <row r="381" spans="1:16">
      <c r="A381" s="2">
        <v>379</v>
      </c>
      <c r="B381" s="2" t="s">
        <v>891</v>
      </c>
      <c r="C381" t="s">
        <v>120</v>
      </c>
      <c r="D381" s="3" t="s">
        <v>63</v>
      </c>
      <c r="E381" t="s">
        <v>64</v>
      </c>
      <c r="F381">
        <v>17</v>
      </c>
      <c r="I381">
        <v>5161</v>
      </c>
      <c r="J381">
        <v>3250</v>
      </c>
      <c r="K381">
        <v>850</v>
      </c>
      <c r="L381">
        <v>87737</v>
      </c>
      <c r="M381">
        <v>55250</v>
      </c>
      <c r="N381">
        <v>14450</v>
      </c>
      <c r="P381" s="3" t="s">
        <v>65</v>
      </c>
    </row>
    <row r="382" ht="40.5" spans="1:16">
      <c r="A382" s="2">
        <v>380</v>
      </c>
      <c r="B382" s="2" t="s">
        <v>892</v>
      </c>
      <c r="C382" t="s">
        <v>1291</v>
      </c>
      <c r="D382" s="3" t="s">
        <v>1292</v>
      </c>
      <c r="E382" t="s">
        <v>74</v>
      </c>
      <c r="F382">
        <v>600</v>
      </c>
      <c r="I382">
        <v>248</v>
      </c>
      <c r="J382">
        <v>56.35</v>
      </c>
      <c r="K382">
        <v>35</v>
      </c>
      <c r="L382">
        <v>148800</v>
      </c>
      <c r="M382">
        <v>33810</v>
      </c>
      <c r="N382">
        <v>21000</v>
      </c>
      <c r="P382" s="3" t="s">
        <v>895</v>
      </c>
    </row>
    <row r="383" ht="27" spans="1:16">
      <c r="A383" s="2">
        <v>381</v>
      </c>
      <c r="B383" s="2" t="s">
        <v>896</v>
      </c>
      <c r="C383" t="s">
        <v>1293</v>
      </c>
      <c r="E383" t="s">
        <v>59</v>
      </c>
      <c r="F383">
        <v>7500</v>
      </c>
      <c r="I383">
        <v>26</v>
      </c>
      <c r="J383">
        <v>0</v>
      </c>
      <c r="K383">
        <v>2</v>
      </c>
      <c r="L383">
        <v>195000</v>
      </c>
      <c r="M383">
        <v>0</v>
      </c>
      <c r="N383">
        <v>15000</v>
      </c>
      <c r="P383" s="3" t="s">
        <v>224</v>
      </c>
    </row>
    <row r="384" ht="27" spans="1:16">
      <c r="A384" s="2">
        <v>382</v>
      </c>
      <c r="B384" s="2" t="s">
        <v>899</v>
      </c>
      <c r="C384" t="s">
        <v>1294</v>
      </c>
      <c r="D384" s="3" t="s">
        <v>1295</v>
      </c>
      <c r="E384" t="s">
        <v>1296</v>
      </c>
      <c r="F384">
        <v>10</v>
      </c>
      <c r="I384">
        <v>632.2</v>
      </c>
      <c r="J384">
        <v>0</v>
      </c>
      <c r="K384">
        <v>200</v>
      </c>
      <c r="L384">
        <v>6322</v>
      </c>
      <c r="M384">
        <v>0</v>
      </c>
      <c r="N384">
        <v>2000</v>
      </c>
      <c r="P384" s="3" t="s">
        <v>903</v>
      </c>
    </row>
    <row r="385" ht="27" spans="1:16">
      <c r="A385" s="2">
        <v>383</v>
      </c>
      <c r="B385" s="2" t="s">
        <v>904</v>
      </c>
      <c r="C385" t="s">
        <v>905</v>
      </c>
      <c r="E385" t="s">
        <v>59</v>
      </c>
      <c r="F385">
        <v>3600</v>
      </c>
      <c r="I385">
        <v>122.52036</v>
      </c>
      <c r="J385">
        <v>82</v>
      </c>
      <c r="K385">
        <v>5</v>
      </c>
      <c r="L385">
        <v>441073.296</v>
      </c>
      <c r="M385">
        <v>295200</v>
      </c>
      <c r="N385">
        <v>18000</v>
      </c>
      <c r="P385" s="3" t="s">
        <v>224</v>
      </c>
    </row>
    <row r="386" ht="27" spans="1:16">
      <c r="A386" s="2">
        <v>384</v>
      </c>
      <c r="B386" s="2" t="s">
        <v>906</v>
      </c>
      <c r="C386" t="s">
        <v>1297</v>
      </c>
      <c r="E386" t="s">
        <v>74</v>
      </c>
      <c r="F386">
        <v>3500</v>
      </c>
      <c r="I386">
        <v>25</v>
      </c>
      <c r="J386">
        <v>0</v>
      </c>
      <c r="K386">
        <v>5</v>
      </c>
      <c r="L386">
        <v>87500</v>
      </c>
      <c r="M386">
        <v>0</v>
      </c>
      <c r="N386">
        <v>17500</v>
      </c>
      <c r="P386" s="3" t="s">
        <v>908</v>
      </c>
    </row>
    <row r="387" spans="1:16">
      <c r="A387" s="2">
        <v>385</v>
      </c>
      <c r="B387" s="2">
        <v>15</v>
      </c>
      <c r="C387" t="s">
        <v>1298</v>
      </c>
      <c r="I387">
        <v>0</v>
      </c>
      <c r="J387">
        <v>0</v>
      </c>
      <c r="K387">
        <v>0</v>
      </c>
      <c r="L387">
        <v>1912679.09266809</v>
      </c>
      <c r="M387">
        <v>2072</v>
      </c>
      <c r="N387">
        <v>962817.37</v>
      </c>
    </row>
    <row r="388" spans="1:16">
      <c r="A388" s="2">
        <v>386</v>
      </c>
      <c r="B388" s="2">
        <v>15.1</v>
      </c>
      <c r="C388" t="s">
        <v>1299</v>
      </c>
      <c r="D388" s="3" t="s">
        <v>912</v>
      </c>
      <c r="E388" t="s">
        <v>59</v>
      </c>
      <c r="F388">
        <v>50</v>
      </c>
      <c r="I388">
        <v>265.524</v>
      </c>
      <c r="J388">
        <v>0</v>
      </c>
      <c r="K388">
        <v>50</v>
      </c>
      <c r="L388">
        <v>13276.2</v>
      </c>
      <c r="M388">
        <v>0</v>
      </c>
      <c r="N388">
        <v>2500</v>
      </c>
      <c r="P388" s="3" t="s">
        <v>913</v>
      </c>
    </row>
    <row r="389" spans="1:16">
      <c r="A389" s="2">
        <v>387</v>
      </c>
      <c r="B389" s="2">
        <v>15.2</v>
      </c>
      <c r="C389" t="s">
        <v>1300</v>
      </c>
      <c r="D389" s="3" t="s">
        <v>915</v>
      </c>
      <c r="E389" t="s">
        <v>64</v>
      </c>
      <c r="F389">
        <v>97</v>
      </c>
      <c r="I389">
        <v>796.572</v>
      </c>
      <c r="J389">
        <v>0</v>
      </c>
      <c r="K389">
        <v>600</v>
      </c>
      <c r="L389">
        <v>77267.484</v>
      </c>
      <c r="M389">
        <v>0</v>
      </c>
      <c r="N389">
        <v>58200</v>
      </c>
      <c r="P389" s="3" t="s">
        <v>79</v>
      </c>
    </row>
    <row r="390" spans="1:16">
      <c r="A390" s="2">
        <v>388</v>
      </c>
      <c r="B390" s="2">
        <v>15.3</v>
      </c>
      <c r="C390" t="s">
        <v>1301</v>
      </c>
      <c r="D390" s="3" t="s">
        <v>915</v>
      </c>
      <c r="E390" t="s">
        <v>74</v>
      </c>
      <c r="F390">
        <v>1100</v>
      </c>
      <c r="I390">
        <v>26.5524</v>
      </c>
      <c r="J390">
        <v>0</v>
      </c>
      <c r="K390">
        <v>20</v>
      </c>
      <c r="L390">
        <v>29207.64</v>
      </c>
      <c r="M390">
        <v>0</v>
      </c>
      <c r="N390">
        <v>22000</v>
      </c>
      <c r="P390" s="3" t="s">
        <v>79</v>
      </c>
    </row>
    <row r="391" spans="1:16">
      <c r="A391" s="2">
        <v>389</v>
      </c>
      <c r="B391" s="2">
        <v>15.4</v>
      </c>
      <c r="C391" t="s">
        <v>1302</v>
      </c>
      <c r="D391" s="3" t="s">
        <v>915</v>
      </c>
      <c r="E391" t="s">
        <v>74</v>
      </c>
      <c r="F391">
        <v>3780</v>
      </c>
      <c r="I391">
        <v>26.5524</v>
      </c>
      <c r="J391">
        <v>0</v>
      </c>
      <c r="K391">
        <v>20</v>
      </c>
      <c r="L391">
        <v>100368.072</v>
      </c>
      <c r="M391">
        <v>0</v>
      </c>
      <c r="N391">
        <v>75600</v>
      </c>
      <c r="P391" s="3" t="s">
        <v>79</v>
      </c>
    </row>
    <row r="392" spans="1:16">
      <c r="A392" s="2">
        <v>390</v>
      </c>
      <c r="B392" s="2">
        <v>15.5</v>
      </c>
      <c r="C392" t="s">
        <v>1303</v>
      </c>
      <c r="D392" s="3" t="s">
        <v>915</v>
      </c>
      <c r="E392" t="s">
        <v>64</v>
      </c>
      <c r="F392">
        <v>200</v>
      </c>
      <c r="I392">
        <v>796.572</v>
      </c>
      <c r="J392">
        <v>0</v>
      </c>
      <c r="K392">
        <v>600</v>
      </c>
      <c r="L392">
        <v>159314.4</v>
      </c>
      <c r="M392">
        <v>0</v>
      </c>
      <c r="N392">
        <v>120000</v>
      </c>
      <c r="P392" s="3" t="s">
        <v>79</v>
      </c>
    </row>
    <row r="393" spans="1:16">
      <c r="A393" s="2">
        <v>391</v>
      </c>
      <c r="B393" s="2">
        <v>15.6</v>
      </c>
      <c r="C393" t="s">
        <v>1304</v>
      </c>
      <c r="D393" s="3" t="s">
        <v>912</v>
      </c>
      <c r="E393" t="s">
        <v>59</v>
      </c>
      <c r="F393">
        <v>25</v>
      </c>
      <c r="I393">
        <v>265.524</v>
      </c>
      <c r="J393">
        <v>0</v>
      </c>
      <c r="K393">
        <v>50</v>
      </c>
      <c r="L393">
        <v>6638.1</v>
      </c>
      <c r="M393">
        <v>0</v>
      </c>
      <c r="N393">
        <v>1250</v>
      </c>
      <c r="P393" s="3" t="s">
        <v>79</v>
      </c>
    </row>
    <row r="394" spans="1:16">
      <c r="A394" s="2">
        <v>392</v>
      </c>
      <c r="B394" s="2">
        <v>15.7</v>
      </c>
      <c r="C394" t="s">
        <v>1305</v>
      </c>
      <c r="D394" s="3" t="s">
        <v>912</v>
      </c>
      <c r="E394" t="s">
        <v>59</v>
      </c>
      <c r="F394">
        <v>700</v>
      </c>
      <c r="I394">
        <v>265.524</v>
      </c>
      <c r="J394">
        <v>0</v>
      </c>
      <c r="K394">
        <v>50</v>
      </c>
      <c r="L394">
        <v>185866.8</v>
      </c>
      <c r="M394">
        <v>0</v>
      </c>
      <c r="N394">
        <v>35000</v>
      </c>
      <c r="P394" s="3" t="s">
        <v>79</v>
      </c>
    </row>
    <row r="395" spans="1:16">
      <c r="A395" s="2">
        <v>393</v>
      </c>
      <c r="B395" s="2">
        <v>15.8</v>
      </c>
      <c r="C395" t="s">
        <v>1306</v>
      </c>
      <c r="D395" s="3" t="s">
        <v>912</v>
      </c>
      <c r="E395" t="s">
        <v>59</v>
      </c>
      <c r="F395">
        <v>20</v>
      </c>
      <c r="I395">
        <v>265.524</v>
      </c>
      <c r="J395">
        <v>0</v>
      </c>
      <c r="K395">
        <v>50</v>
      </c>
      <c r="L395">
        <v>5310.48</v>
      </c>
      <c r="M395">
        <v>0</v>
      </c>
      <c r="N395">
        <v>1000</v>
      </c>
      <c r="P395" s="3" t="s">
        <v>79</v>
      </c>
    </row>
    <row r="396" spans="1:16">
      <c r="A396" s="2">
        <v>394</v>
      </c>
      <c r="B396" s="2">
        <v>15.9</v>
      </c>
      <c r="C396" t="s">
        <v>1307</v>
      </c>
      <c r="D396" s="3" t="s">
        <v>912</v>
      </c>
      <c r="E396" t="s">
        <v>59</v>
      </c>
      <c r="F396">
        <v>40</v>
      </c>
      <c r="I396">
        <v>265.524</v>
      </c>
      <c r="J396">
        <v>0</v>
      </c>
      <c r="K396">
        <v>50</v>
      </c>
      <c r="L396">
        <v>10620.96</v>
      </c>
      <c r="M396">
        <v>0</v>
      </c>
      <c r="N396">
        <v>2000</v>
      </c>
      <c r="P396" s="3" t="s">
        <v>79</v>
      </c>
    </row>
    <row r="397" spans="1:16">
      <c r="A397" s="2">
        <v>395</v>
      </c>
      <c r="B397" s="2">
        <v>15.1</v>
      </c>
      <c r="C397" t="s">
        <v>1308</v>
      </c>
      <c r="D397" s="3" t="s">
        <v>915</v>
      </c>
      <c r="E397" t="s">
        <v>64</v>
      </c>
      <c r="F397">
        <v>56</v>
      </c>
      <c r="I397">
        <v>796.572</v>
      </c>
      <c r="J397">
        <v>0</v>
      </c>
      <c r="K397">
        <v>600</v>
      </c>
      <c r="L397">
        <v>44608.032</v>
      </c>
      <c r="M397">
        <v>0</v>
      </c>
      <c r="N397">
        <v>33600</v>
      </c>
      <c r="P397" s="3" t="s">
        <v>79</v>
      </c>
    </row>
    <row r="398" spans="1:16">
      <c r="A398" s="2">
        <v>396</v>
      </c>
      <c r="B398" s="2">
        <v>15.11</v>
      </c>
      <c r="C398" t="s">
        <v>1309</v>
      </c>
      <c r="D398" s="3" t="s">
        <v>915</v>
      </c>
      <c r="E398" t="s">
        <v>64</v>
      </c>
      <c r="F398">
        <v>50</v>
      </c>
      <c r="I398">
        <v>796.572</v>
      </c>
      <c r="J398">
        <v>0</v>
      </c>
      <c r="K398">
        <v>600</v>
      </c>
      <c r="L398">
        <v>39828.6</v>
      </c>
      <c r="M398">
        <v>0</v>
      </c>
      <c r="N398">
        <v>30000</v>
      </c>
      <c r="P398" s="3" t="s">
        <v>79</v>
      </c>
    </row>
    <row r="399" spans="1:16">
      <c r="A399" s="2">
        <v>397</v>
      </c>
      <c r="B399" s="2">
        <v>15.12</v>
      </c>
      <c r="C399" t="s">
        <v>1310</v>
      </c>
      <c r="D399" s="3" t="s">
        <v>915</v>
      </c>
      <c r="E399" t="s">
        <v>64</v>
      </c>
      <c r="F399">
        <v>60</v>
      </c>
      <c r="I399">
        <v>796.572</v>
      </c>
      <c r="J399">
        <v>0</v>
      </c>
      <c r="K399">
        <v>600</v>
      </c>
      <c r="L399">
        <v>47794.32</v>
      </c>
      <c r="M399">
        <v>0</v>
      </c>
      <c r="N399">
        <v>36000</v>
      </c>
      <c r="P399" s="3" t="s">
        <v>79</v>
      </c>
    </row>
    <row r="400" spans="1:16">
      <c r="A400" s="2">
        <v>398</v>
      </c>
      <c r="B400" s="2">
        <v>15.13</v>
      </c>
      <c r="C400" t="s">
        <v>1311</v>
      </c>
      <c r="D400" s="3" t="s">
        <v>927</v>
      </c>
      <c r="E400" t="s">
        <v>74</v>
      </c>
      <c r="F400">
        <v>189</v>
      </c>
      <c r="I400">
        <v>92.9334</v>
      </c>
      <c r="J400">
        <v>0</v>
      </c>
      <c r="K400">
        <v>20</v>
      </c>
      <c r="L400">
        <v>17564.4126</v>
      </c>
      <c r="M400">
        <v>0</v>
      </c>
      <c r="N400">
        <v>3780</v>
      </c>
      <c r="P400" s="3" t="s">
        <v>79</v>
      </c>
    </row>
    <row r="401" spans="1:16">
      <c r="A401" s="2">
        <v>399</v>
      </c>
      <c r="B401" s="2">
        <v>15.14</v>
      </c>
      <c r="C401" t="s">
        <v>1312</v>
      </c>
      <c r="D401" s="3" t="s">
        <v>927</v>
      </c>
      <c r="E401" t="s">
        <v>74</v>
      </c>
      <c r="F401">
        <v>6.3</v>
      </c>
      <c r="I401">
        <v>92.9334</v>
      </c>
      <c r="J401">
        <v>0</v>
      </c>
      <c r="K401">
        <v>20</v>
      </c>
      <c r="L401">
        <v>585.48042</v>
      </c>
      <c r="M401">
        <v>0</v>
      </c>
      <c r="N401">
        <v>126</v>
      </c>
      <c r="P401" s="3" t="s">
        <v>79</v>
      </c>
    </row>
    <row r="402" spans="1:16">
      <c r="A402" s="2">
        <v>400</v>
      </c>
      <c r="B402" s="2">
        <v>15.15</v>
      </c>
      <c r="C402" t="s">
        <v>1313</v>
      </c>
      <c r="D402" s="3" t="s">
        <v>927</v>
      </c>
      <c r="E402" t="s">
        <v>74</v>
      </c>
      <c r="F402">
        <v>42</v>
      </c>
      <c r="I402">
        <v>92.9334</v>
      </c>
      <c r="J402">
        <v>0</v>
      </c>
      <c r="K402">
        <v>20</v>
      </c>
      <c r="L402">
        <v>3903.2028</v>
      </c>
      <c r="M402">
        <v>0</v>
      </c>
      <c r="N402">
        <v>840</v>
      </c>
      <c r="P402" s="3" t="s">
        <v>79</v>
      </c>
    </row>
    <row r="403" spans="1:16">
      <c r="A403" s="2">
        <v>401</v>
      </c>
      <c r="B403" s="2">
        <v>15.16</v>
      </c>
      <c r="C403" t="s">
        <v>1314</v>
      </c>
      <c r="D403" s="3" t="s">
        <v>927</v>
      </c>
      <c r="E403" t="s">
        <v>74</v>
      </c>
      <c r="F403">
        <v>60.9525</v>
      </c>
      <c r="I403">
        <v>92.9334</v>
      </c>
      <c r="J403">
        <v>0</v>
      </c>
      <c r="K403">
        <v>20</v>
      </c>
      <c r="L403">
        <v>5664.5230635</v>
      </c>
      <c r="M403">
        <v>0</v>
      </c>
      <c r="N403">
        <v>1219.05</v>
      </c>
      <c r="P403" s="3" t="s">
        <v>79</v>
      </c>
    </row>
    <row r="404" spans="1:16">
      <c r="A404" s="2">
        <v>402</v>
      </c>
      <c r="B404" s="2">
        <v>15.17</v>
      </c>
      <c r="C404" t="s">
        <v>1315</v>
      </c>
      <c r="D404" s="3" t="s">
        <v>932</v>
      </c>
      <c r="E404" t="s">
        <v>74</v>
      </c>
      <c r="F404">
        <v>75.6</v>
      </c>
      <c r="I404">
        <v>92.9334</v>
      </c>
      <c r="J404">
        <v>0</v>
      </c>
      <c r="K404">
        <v>20</v>
      </c>
      <c r="L404">
        <v>7025.76504</v>
      </c>
      <c r="M404">
        <v>0</v>
      </c>
      <c r="N404">
        <v>1512</v>
      </c>
      <c r="P404" s="3" t="s">
        <v>79</v>
      </c>
    </row>
    <row r="405" spans="1:16">
      <c r="A405" s="2">
        <v>403</v>
      </c>
      <c r="B405" s="2">
        <v>15.18</v>
      </c>
      <c r="C405" t="s">
        <v>1316</v>
      </c>
      <c r="D405" s="3" t="s">
        <v>915</v>
      </c>
      <c r="E405" t="s">
        <v>64</v>
      </c>
      <c r="F405">
        <v>5</v>
      </c>
      <c r="I405">
        <v>663.81</v>
      </c>
      <c r="J405">
        <v>0</v>
      </c>
      <c r="K405">
        <v>500</v>
      </c>
      <c r="L405">
        <v>3319.05</v>
      </c>
      <c r="M405">
        <v>0</v>
      </c>
      <c r="N405">
        <v>2500</v>
      </c>
      <c r="P405" s="3" t="s">
        <v>79</v>
      </c>
    </row>
    <row r="406" spans="1:16">
      <c r="A406" s="2">
        <v>404</v>
      </c>
      <c r="B406" s="2">
        <v>15.19</v>
      </c>
      <c r="C406" t="s">
        <v>1317</v>
      </c>
      <c r="D406" s="3" t="s">
        <v>915</v>
      </c>
      <c r="E406" t="s">
        <v>64</v>
      </c>
      <c r="F406">
        <v>40</v>
      </c>
      <c r="I406">
        <v>663.81</v>
      </c>
      <c r="J406">
        <v>0</v>
      </c>
      <c r="K406">
        <v>500</v>
      </c>
      <c r="L406">
        <v>26552.4</v>
      </c>
      <c r="M406">
        <v>0</v>
      </c>
      <c r="N406">
        <v>20000</v>
      </c>
      <c r="P406" s="3" t="s">
        <v>79</v>
      </c>
    </row>
    <row r="407" spans="1:16">
      <c r="A407" s="2">
        <v>405</v>
      </c>
      <c r="B407" s="2">
        <v>15.2</v>
      </c>
      <c r="C407" t="s">
        <v>1318</v>
      </c>
      <c r="D407" s="3" t="s">
        <v>915</v>
      </c>
      <c r="E407" t="s">
        <v>234</v>
      </c>
      <c r="F407">
        <v>1</v>
      </c>
      <c r="I407">
        <v>28652.4</v>
      </c>
      <c r="J407">
        <v>0</v>
      </c>
      <c r="K407">
        <v>10000</v>
      </c>
      <c r="L407">
        <v>28652.4</v>
      </c>
      <c r="M407">
        <v>0</v>
      </c>
      <c r="N407">
        <v>10000</v>
      </c>
      <c r="P407" s="3" t="s">
        <v>79</v>
      </c>
    </row>
    <row r="408" spans="1:16">
      <c r="A408" s="2">
        <v>406</v>
      </c>
      <c r="B408" s="2">
        <v>15.21</v>
      </c>
      <c r="C408" t="s">
        <v>1319</v>
      </c>
      <c r="D408" s="3" t="s">
        <v>915</v>
      </c>
      <c r="E408" t="s">
        <v>263</v>
      </c>
      <c r="F408">
        <v>1</v>
      </c>
      <c r="I408">
        <v>6638.1</v>
      </c>
      <c r="J408">
        <v>0</v>
      </c>
      <c r="K408">
        <v>5000</v>
      </c>
      <c r="L408">
        <v>6638.1</v>
      </c>
      <c r="M408">
        <v>0</v>
      </c>
      <c r="N408">
        <v>5000</v>
      </c>
      <c r="P408" s="3" t="s">
        <v>79</v>
      </c>
    </row>
    <row r="409" spans="1:16">
      <c r="A409" s="2">
        <v>407</v>
      </c>
      <c r="B409" s="2">
        <v>15.22</v>
      </c>
      <c r="C409" t="s">
        <v>1320</v>
      </c>
      <c r="D409" s="3" t="s">
        <v>915</v>
      </c>
      <c r="E409" t="s">
        <v>263</v>
      </c>
      <c r="F409">
        <v>1</v>
      </c>
      <c r="I409">
        <v>12720.96</v>
      </c>
      <c r="J409">
        <v>0</v>
      </c>
      <c r="K409">
        <v>8000</v>
      </c>
      <c r="L409">
        <v>12720.96</v>
      </c>
      <c r="M409">
        <v>0</v>
      </c>
      <c r="N409">
        <v>8000</v>
      </c>
      <c r="P409" s="3" t="s">
        <v>79</v>
      </c>
    </row>
    <row r="410" spans="1:16">
      <c r="A410" s="2">
        <v>408</v>
      </c>
      <c r="B410" s="2">
        <v>15.23</v>
      </c>
      <c r="C410" t="s">
        <v>1321</v>
      </c>
      <c r="D410" s="3" t="s">
        <v>1322</v>
      </c>
      <c r="E410" t="s">
        <v>468</v>
      </c>
      <c r="F410">
        <v>1300</v>
      </c>
      <c r="I410">
        <v>10.62096</v>
      </c>
      <c r="J410">
        <v>0</v>
      </c>
      <c r="K410">
        <v>8</v>
      </c>
      <c r="L410">
        <v>13807.248</v>
      </c>
      <c r="M410">
        <v>0</v>
      </c>
      <c r="N410">
        <v>10400</v>
      </c>
      <c r="P410" s="3" t="s">
        <v>79</v>
      </c>
    </row>
    <row r="411" ht="40.5" spans="1:16">
      <c r="A411" s="2">
        <v>409</v>
      </c>
      <c r="B411" s="2">
        <v>15.24</v>
      </c>
      <c r="C411" t="s">
        <v>1323</v>
      </c>
      <c r="D411" s="3" t="s">
        <v>1324</v>
      </c>
      <c r="E411" t="s">
        <v>74</v>
      </c>
      <c r="F411">
        <v>500</v>
      </c>
      <c r="I411">
        <v>159.3144</v>
      </c>
      <c r="J411">
        <v>0</v>
      </c>
      <c r="K411">
        <v>20</v>
      </c>
      <c r="L411">
        <v>79657.2</v>
      </c>
      <c r="M411">
        <v>0</v>
      </c>
      <c r="N411">
        <v>10000</v>
      </c>
      <c r="P411" s="3" t="s">
        <v>79</v>
      </c>
    </row>
    <row r="412" spans="1:16">
      <c r="A412" s="2">
        <v>410</v>
      </c>
      <c r="B412" s="2">
        <v>15.25</v>
      </c>
      <c r="C412" t="s">
        <v>1325</v>
      </c>
      <c r="D412" s="3" t="s">
        <v>1326</v>
      </c>
      <c r="E412" t="s">
        <v>263</v>
      </c>
      <c r="F412">
        <v>2</v>
      </c>
      <c r="G412">
        <v>3</v>
      </c>
      <c r="H412">
        <v>6</v>
      </c>
      <c r="I412">
        <v>5310.48</v>
      </c>
      <c r="J412">
        <v>0</v>
      </c>
      <c r="K412">
        <v>1000</v>
      </c>
      <c r="L412">
        <v>10620.96</v>
      </c>
      <c r="M412">
        <v>0</v>
      </c>
      <c r="N412">
        <v>2000</v>
      </c>
      <c r="P412" s="3" t="s">
        <v>79</v>
      </c>
    </row>
    <row r="413" ht="27" spans="1:16">
      <c r="A413" s="2">
        <v>411</v>
      </c>
      <c r="B413" s="2">
        <v>15.26</v>
      </c>
      <c r="C413" t="s">
        <v>1327</v>
      </c>
      <c r="D413" s="3" t="s">
        <v>1328</v>
      </c>
      <c r="E413" t="s">
        <v>468</v>
      </c>
      <c r="F413">
        <v>500</v>
      </c>
      <c r="I413">
        <v>73.0191</v>
      </c>
      <c r="J413">
        <v>0</v>
      </c>
      <c r="K413">
        <v>25</v>
      </c>
      <c r="L413">
        <v>36509.55</v>
      </c>
      <c r="M413">
        <v>0</v>
      </c>
      <c r="N413">
        <v>12500</v>
      </c>
      <c r="P413" s="3" t="s">
        <v>79</v>
      </c>
    </row>
    <row r="414" ht="27" spans="1:16">
      <c r="A414" s="2">
        <v>412</v>
      </c>
      <c r="B414" s="2">
        <v>15.27</v>
      </c>
      <c r="C414" t="s">
        <v>1329</v>
      </c>
      <c r="D414" s="3" t="s">
        <v>1330</v>
      </c>
      <c r="E414" t="s">
        <v>1331</v>
      </c>
      <c r="F414">
        <v>2</v>
      </c>
      <c r="I414">
        <v>1991.43</v>
      </c>
      <c r="J414">
        <v>0</v>
      </c>
      <c r="K414">
        <v>500</v>
      </c>
      <c r="L414">
        <v>3982.86</v>
      </c>
      <c r="M414">
        <v>0</v>
      </c>
      <c r="N414">
        <v>1000</v>
      </c>
      <c r="P414" s="3" t="s">
        <v>79</v>
      </c>
    </row>
    <row r="415" spans="1:16">
      <c r="A415" s="2">
        <v>413</v>
      </c>
      <c r="B415" s="2">
        <v>15.28</v>
      </c>
      <c r="C415" t="s">
        <v>949</v>
      </c>
      <c r="D415" s="3" t="s">
        <v>915</v>
      </c>
      <c r="E415" t="s">
        <v>64</v>
      </c>
      <c r="F415">
        <v>2</v>
      </c>
      <c r="I415">
        <v>1194.858</v>
      </c>
      <c r="J415">
        <v>0</v>
      </c>
      <c r="K415">
        <v>900</v>
      </c>
      <c r="L415">
        <v>2389.716</v>
      </c>
      <c r="M415">
        <v>0</v>
      </c>
      <c r="N415">
        <v>1800</v>
      </c>
      <c r="P415" s="3" t="s">
        <v>79</v>
      </c>
    </row>
    <row r="416" spans="1:16">
      <c r="A416" s="2">
        <v>414</v>
      </c>
      <c r="B416" s="2">
        <v>15.29</v>
      </c>
      <c r="C416" t="s">
        <v>950</v>
      </c>
      <c r="D416" s="3" t="s">
        <v>915</v>
      </c>
      <c r="E416" t="s">
        <v>64</v>
      </c>
      <c r="F416">
        <v>2</v>
      </c>
      <c r="I416">
        <v>1194.858</v>
      </c>
      <c r="J416">
        <v>0</v>
      </c>
      <c r="K416">
        <v>900</v>
      </c>
      <c r="L416">
        <v>2389.716</v>
      </c>
      <c r="M416">
        <v>0</v>
      </c>
      <c r="N416">
        <v>1800</v>
      </c>
      <c r="P416" s="3" t="s">
        <v>79</v>
      </c>
    </row>
    <row r="417" spans="1:16">
      <c r="A417" s="2">
        <v>415</v>
      </c>
      <c r="B417" s="2">
        <v>15.3</v>
      </c>
      <c r="C417" t="s">
        <v>951</v>
      </c>
      <c r="D417" s="3" t="s">
        <v>915</v>
      </c>
      <c r="E417" t="s">
        <v>468</v>
      </c>
      <c r="F417">
        <v>2600</v>
      </c>
      <c r="I417">
        <v>10.62096</v>
      </c>
      <c r="J417">
        <v>0</v>
      </c>
      <c r="K417">
        <v>8</v>
      </c>
      <c r="L417">
        <v>27614.496</v>
      </c>
      <c r="M417">
        <v>0</v>
      </c>
      <c r="N417">
        <v>20800</v>
      </c>
      <c r="P417" s="3" t="s">
        <v>79</v>
      </c>
    </row>
    <row r="418" spans="1:16">
      <c r="A418" s="2">
        <v>416</v>
      </c>
      <c r="B418" s="2">
        <v>15.31</v>
      </c>
      <c r="C418" t="s">
        <v>952</v>
      </c>
      <c r="D418" s="3" t="s">
        <v>915</v>
      </c>
      <c r="E418" t="s">
        <v>59</v>
      </c>
      <c r="F418">
        <v>526</v>
      </c>
      <c r="I418">
        <v>225.6954</v>
      </c>
      <c r="J418">
        <v>0</v>
      </c>
      <c r="K418">
        <v>20</v>
      </c>
      <c r="L418">
        <v>118715.7804</v>
      </c>
      <c r="M418">
        <v>0</v>
      </c>
      <c r="N418">
        <v>10520</v>
      </c>
      <c r="P418" s="3" t="s">
        <v>79</v>
      </c>
    </row>
    <row r="419" spans="1:16">
      <c r="A419" s="2">
        <v>417</v>
      </c>
      <c r="B419" s="2">
        <v>15.32</v>
      </c>
      <c r="C419" t="s">
        <v>953</v>
      </c>
      <c r="D419" s="3" t="s">
        <v>915</v>
      </c>
      <c r="E419" t="s">
        <v>64</v>
      </c>
      <c r="F419">
        <v>4</v>
      </c>
      <c r="I419">
        <v>1194.858</v>
      </c>
      <c r="J419">
        <v>0</v>
      </c>
      <c r="K419">
        <v>900</v>
      </c>
      <c r="L419">
        <v>4779.432</v>
      </c>
      <c r="M419">
        <v>0</v>
      </c>
      <c r="N419">
        <v>3600</v>
      </c>
      <c r="P419" s="3" t="s">
        <v>79</v>
      </c>
    </row>
    <row r="420" spans="1:16">
      <c r="A420" s="2">
        <v>418</v>
      </c>
      <c r="B420" s="2">
        <v>15.33</v>
      </c>
      <c r="C420" t="s">
        <v>954</v>
      </c>
      <c r="D420" s="3" t="s">
        <v>915</v>
      </c>
      <c r="E420" t="s">
        <v>59</v>
      </c>
      <c r="F420">
        <v>85</v>
      </c>
      <c r="I420">
        <v>225.6954</v>
      </c>
      <c r="J420">
        <v>0</v>
      </c>
      <c r="K420">
        <v>20</v>
      </c>
      <c r="L420">
        <v>19184.109</v>
      </c>
      <c r="M420">
        <v>0</v>
      </c>
      <c r="N420">
        <v>1700</v>
      </c>
      <c r="P420" s="3" t="s">
        <v>79</v>
      </c>
    </row>
    <row r="421" ht="27" spans="1:16">
      <c r="A421" s="2">
        <v>419</v>
      </c>
      <c r="B421" s="2">
        <v>15.34</v>
      </c>
      <c r="C421" t="s">
        <v>955</v>
      </c>
      <c r="D421" s="3" t="s">
        <v>956</v>
      </c>
      <c r="E421" t="s">
        <v>74</v>
      </c>
      <c r="F421">
        <v>160</v>
      </c>
      <c r="I421">
        <v>92.9334</v>
      </c>
      <c r="J421">
        <v>0</v>
      </c>
      <c r="K421">
        <v>20</v>
      </c>
      <c r="L421">
        <v>14869.344</v>
      </c>
      <c r="M421">
        <v>0</v>
      </c>
      <c r="N421">
        <v>3200</v>
      </c>
      <c r="P421" s="3" t="s">
        <v>79</v>
      </c>
    </row>
    <row r="422" spans="1:16">
      <c r="A422" s="2">
        <v>420</v>
      </c>
      <c r="B422" s="2">
        <v>15.35</v>
      </c>
      <c r="C422" t="s">
        <v>957</v>
      </c>
      <c r="D422" s="3" t="s">
        <v>958</v>
      </c>
      <c r="E422" t="s">
        <v>64</v>
      </c>
      <c r="F422">
        <v>83.2</v>
      </c>
      <c r="I422">
        <v>796.572</v>
      </c>
      <c r="J422">
        <v>0</v>
      </c>
      <c r="K422">
        <v>600</v>
      </c>
      <c r="L422">
        <v>66274.7904</v>
      </c>
      <c r="M422">
        <v>0</v>
      </c>
      <c r="N422">
        <v>49920</v>
      </c>
      <c r="P422" s="3" t="s">
        <v>79</v>
      </c>
    </row>
    <row r="423" spans="1:16">
      <c r="A423" s="2">
        <v>421</v>
      </c>
      <c r="B423" s="2">
        <v>15.36</v>
      </c>
      <c r="C423" t="s">
        <v>959</v>
      </c>
      <c r="D423" s="3" t="s">
        <v>915</v>
      </c>
      <c r="E423" t="s">
        <v>64</v>
      </c>
      <c r="F423">
        <v>20</v>
      </c>
      <c r="I423">
        <v>796.572</v>
      </c>
      <c r="J423">
        <v>0</v>
      </c>
      <c r="K423">
        <v>600</v>
      </c>
      <c r="L423">
        <v>15931.44</v>
      </c>
      <c r="M423">
        <v>0</v>
      </c>
      <c r="N423">
        <v>12000</v>
      </c>
      <c r="P423" s="3" t="s">
        <v>79</v>
      </c>
    </row>
    <row r="424" ht="54" spans="1:16">
      <c r="A424" s="2">
        <v>422</v>
      </c>
      <c r="B424" s="2">
        <v>15.37</v>
      </c>
      <c r="C424" t="s">
        <v>960</v>
      </c>
      <c r="D424" s="3" t="s">
        <v>961</v>
      </c>
      <c r="E424" t="s">
        <v>962</v>
      </c>
      <c r="F424">
        <v>1</v>
      </c>
      <c r="I424">
        <v>6638.1</v>
      </c>
      <c r="J424">
        <v>0</v>
      </c>
      <c r="K424">
        <v>5000</v>
      </c>
      <c r="L424">
        <v>6638.1</v>
      </c>
      <c r="M424">
        <v>0</v>
      </c>
      <c r="N424">
        <v>5000</v>
      </c>
      <c r="P424" s="3" t="s">
        <v>79</v>
      </c>
    </row>
    <row r="425" spans="1:16">
      <c r="A425" s="2">
        <v>423</v>
      </c>
      <c r="B425" s="2">
        <v>15.38</v>
      </c>
      <c r="C425" t="s">
        <v>963</v>
      </c>
      <c r="D425" s="3" t="s">
        <v>915</v>
      </c>
      <c r="E425" t="s">
        <v>64</v>
      </c>
      <c r="F425">
        <v>100</v>
      </c>
      <c r="I425">
        <v>1062.096</v>
      </c>
      <c r="J425">
        <v>0</v>
      </c>
      <c r="K425">
        <v>800</v>
      </c>
      <c r="L425">
        <v>106209.6</v>
      </c>
      <c r="M425">
        <v>0</v>
      </c>
      <c r="N425">
        <v>80000</v>
      </c>
      <c r="P425" s="3" t="s">
        <v>79</v>
      </c>
    </row>
    <row r="426" spans="1:16">
      <c r="A426" s="2">
        <v>424</v>
      </c>
      <c r="B426" s="2">
        <v>15.39</v>
      </c>
      <c r="C426" t="s">
        <v>964</v>
      </c>
      <c r="D426" s="3" t="s">
        <v>915</v>
      </c>
      <c r="E426" t="s">
        <v>64</v>
      </c>
      <c r="F426">
        <v>63.8</v>
      </c>
      <c r="I426">
        <v>1062.096</v>
      </c>
      <c r="J426">
        <v>0</v>
      </c>
      <c r="K426">
        <v>800</v>
      </c>
      <c r="L426">
        <v>67761.7248</v>
      </c>
      <c r="M426">
        <v>0</v>
      </c>
      <c r="N426">
        <v>51040</v>
      </c>
      <c r="P426" s="3" t="s">
        <v>79</v>
      </c>
    </row>
    <row r="427" spans="1:16">
      <c r="A427" s="2">
        <v>425</v>
      </c>
      <c r="B427" s="2">
        <v>15.4</v>
      </c>
      <c r="C427" t="s">
        <v>965</v>
      </c>
      <c r="D427" s="3" t="s">
        <v>966</v>
      </c>
      <c r="E427" t="s">
        <v>74</v>
      </c>
      <c r="F427">
        <v>335</v>
      </c>
      <c r="I427">
        <v>92.9334</v>
      </c>
      <c r="J427">
        <v>0</v>
      </c>
      <c r="K427">
        <v>20</v>
      </c>
      <c r="L427">
        <v>31132.689</v>
      </c>
      <c r="M427">
        <v>0</v>
      </c>
      <c r="N427">
        <v>6700</v>
      </c>
      <c r="P427" s="3" t="s">
        <v>79</v>
      </c>
    </row>
    <row r="428" spans="1:16">
      <c r="A428" s="2">
        <v>426</v>
      </c>
      <c r="B428" s="2">
        <v>15.41</v>
      </c>
      <c r="C428" t="s">
        <v>967</v>
      </c>
      <c r="D428" s="3" t="s">
        <v>958</v>
      </c>
      <c r="E428" t="s">
        <v>64</v>
      </c>
      <c r="F428">
        <v>5</v>
      </c>
      <c r="I428">
        <v>1062.096</v>
      </c>
      <c r="J428">
        <v>0</v>
      </c>
      <c r="K428">
        <v>800</v>
      </c>
      <c r="L428">
        <v>5310.48</v>
      </c>
      <c r="M428">
        <v>0</v>
      </c>
      <c r="N428">
        <v>4000</v>
      </c>
      <c r="P428" s="3" t="s">
        <v>79</v>
      </c>
    </row>
    <row r="429" spans="1:16">
      <c r="A429" s="2">
        <v>427</v>
      </c>
      <c r="B429" s="2">
        <v>15.42</v>
      </c>
      <c r="C429" t="s">
        <v>968</v>
      </c>
      <c r="D429" s="3" t="s">
        <v>915</v>
      </c>
      <c r="E429" t="s">
        <v>64</v>
      </c>
      <c r="F429">
        <v>15</v>
      </c>
      <c r="I429">
        <v>1062.096</v>
      </c>
      <c r="J429">
        <v>0</v>
      </c>
      <c r="K429">
        <v>800</v>
      </c>
      <c r="L429">
        <v>15931.44</v>
      </c>
      <c r="M429">
        <v>0</v>
      </c>
      <c r="N429">
        <v>12000</v>
      </c>
      <c r="P429" s="3" t="s">
        <v>79</v>
      </c>
    </row>
    <row r="430" spans="1:16">
      <c r="A430" s="2">
        <v>428</v>
      </c>
      <c r="B430" s="2">
        <v>15.43</v>
      </c>
      <c r="C430" t="s">
        <v>969</v>
      </c>
      <c r="D430" s="3" t="s">
        <v>915</v>
      </c>
      <c r="E430" t="s">
        <v>64</v>
      </c>
      <c r="F430">
        <v>17</v>
      </c>
      <c r="I430">
        <v>1062.096</v>
      </c>
      <c r="J430">
        <v>0</v>
      </c>
      <c r="K430">
        <v>800</v>
      </c>
      <c r="L430">
        <v>18055.632</v>
      </c>
      <c r="M430">
        <v>0</v>
      </c>
      <c r="N430">
        <v>13600</v>
      </c>
      <c r="P430" s="3" t="s">
        <v>79</v>
      </c>
    </row>
    <row r="431" spans="1:16">
      <c r="A431" s="2">
        <v>429</v>
      </c>
      <c r="B431" s="2">
        <v>15.44</v>
      </c>
      <c r="C431" t="s">
        <v>970</v>
      </c>
      <c r="D431" s="3" t="s">
        <v>915</v>
      </c>
      <c r="E431" t="s">
        <v>74</v>
      </c>
      <c r="F431">
        <v>950</v>
      </c>
      <c r="I431">
        <v>26.5524</v>
      </c>
      <c r="J431">
        <v>0</v>
      </c>
      <c r="K431">
        <v>20</v>
      </c>
      <c r="L431">
        <v>25224.78</v>
      </c>
      <c r="M431">
        <v>0</v>
      </c>
      <c r="N431">
        <v>19000</v>
      </c>
      <c r="P431" s="3" t="s">
        <v>79</v>
      </c>
    </row>
    <row r="432" spans="1:16">
      <c r="A432" s="2">
        <v>430</v>
      </c>
      <c r="B432" s="2">
        <v>15.45</v>
      </c>
      <c r="C432" t="s">
        <v>971</v>
      </c>
      <c r="D432" s="3" t="s">
        <v>915</v>
      </c>
      <c r="E432" t="s">
        <v>64</v>
      </c>
      <c r="F432">
        <v>5</v>
      </c>
      <c r="I432">
        <v>1062.096</v>
      </c>
      <c r="J432">
        <v>0</v>
      </c>
      <c r="K432">
        <v>800</v>
      </c>
      <c r="L432">
        <v>5310.48</v>
      </c>
      <c r="M432">
        <v>0</v>
      </c>
      <c r="N432">
        <v>4000</v>
      </c>
      <c r="P432" s="3" t="s">
        <v>79</v>
      </c>
    </row>
    <row r="433" spans="1:16">
      <c r="A433" s="2">
        <v>431</v>
      </c>
      <c r="B433" s="2">
        <v>15.46</v>
      </c>
      <c r="C433" t="s">
        <v>957</v>
      </c>
      <c r="D433" s="3" t="s">
        <v>958</v>
      </c>
      <c r="E433" t="s">
        <v>64</v>
      </c>
      <c r="F433">
        <v>86.7629</v>
      </c>
      <c r="I433">
        <v>1062.096</v>
      </c>
      <c r="J433">
        <v>0</v>
      </c>
      <c r="K433">
        <v>800</v>
      </c>
      <c r="L433">
        <v>92150.5290384</v>
      </c>
      <c r="M433">
        <v>0</v>
      </c>
      <c r="N433">
        <v>69410.32</v>
      </c>
      <c r="P433" s="3" t="s">
        <v>79</v>
      </c>
    </row>
    <row r="434" spans="1:16">
      <c r="A434" s="2">
        <v>432</v>
      </c>
      <c r="B434" s="2">
        <v>15.47</v>
      </c>
      <c r="C434" t="s">
        <v>972</v>
      </c>
      <c r="D434" s="3" t="s">
        <v>915</v>
      </c>
      <c r="E434" t="s">
        <v>59</v>
      </c>
      <c r="F434">
        <v>600</v>
      </c>
      <c r="I434">
        <v>225.6954</v>
      </c>
      <c r="J434">
        <v>0</v>
      </c>
      <c r="K434">
        <v>20</v>
      </c>
      <c r="L434">
        <v>135417.24</v>
      </c>
      <c r="M434">
        <v>0</v>
      </c>
      <c r="N434">
        <v>12000</v>
      </c>
      <c r="P434" s="3" t="s">
        <v>79</v>
      </c>
    </row>
    <row r="435" spans="1:16">
      <c r="A435" s="2">
        <v>433</v>
      </c>
      <c r="B435" s="2">
        <v>15.48</v>
      </c>
      <c r="C435" t="s">
        <v>973</v>
      </c>
      <c r="D435" s="3" t="s">
        <v>915</v>
      </c>
      <c r="E435" t="s">
        <v>64</v>
      </c>
      <c r="F435">
        <v>10</v>
      </c>
      <c r="I435">
        <v>1062.096</v>
      </c>
      <c r="J435">
        <v>0</v>
      </c>
      <c r="K435">
        <v>800</v>
      </c>
      <c r="L435">
        <v>10620.96</v>
      </c>
      <c r="M435">
        <v>0</v>
      </c>
      <c r="N435">
        <v>8000</v>
      </c>
      <c r="P435" s="3" t="s">
        <v>79</v>
      </c>
    </row>
    <row r="436" spans="1:16">
      <c r="A436" s="2">
        <v>434</v>
      </c>
      <c r="B436" s="2">
        <v>15.49</v>
      </c>
      <c r="C436" t="s">
        <v>974</v>
      </c>
      <c r="E436" t="s">
        <v>234</v>
      </c>
      <c r="F436">
        <v>1</v>
      </c>
      <c r="I436">
        <v>2124.192</v>
      </c>
      <c r="J436">
        <v>0</v>
      </c>
      <c r="K436">
        <v>1600</v>
      </c>
      <c r="L436">
        <v>2124.192</v>
      </c>
      <c r="M436">
        <v>0</v>
      </c>
      <c r="N436">
        <v>1600</v>
      </c>
      <c r="P436" s="3" t="s">
        <v>79</v>
      </c>
    </row>
    <row r="437" spans="1:16">
      <c r="A437" s="2">
        <v>435</v>
      </c>
      <c r="B437" s="2">
        <v>15.5</v>
      </c>
      <c r="C437" t="s">
        <v>975</v>
      </c>
      <c r="D437" s="3" t="s">
        <v>915</v>
      </c>
      <c r="E437" t="s">
        <v>59</v>
      </c>
      <c r="F437">
        <v>18</v>
      </c>
      <c r="I437">
        <v>225.6954</v>
      </c>
      <c r="J437">
        <v>0</v>
      </c>
      <c r="K437">
        <v>20</v>
      </c>
      <c r="L437">
        <v>4062.5172</v>
      </c>
      <c r="M437">
        <v>0</v>
      </c>
      <c r="N437">
        <v>360</v>
      </c>
      <c r="P437" s="3" t="s">
        <v>79</v>
      </c>
    </row>
    <row r="438" spans="1:16">
      <c r="A438" s="2">
        <v>436</v>
      </c>
      <c r="B438" s="2">
        <v>15.51</v>
      </c>
      <c r="C438" t="s">
        <v>976</v>
      </c>
      <c r="D438" s="3" t="s">
        <v>977</v>
      </c>
      <c r="E438" t="s">
        <v>59</v>
      </c>
      <c r="F438">
        <v>16</v>
      </c>
      <c r="I438">
        <v>159.3144</v>
      </c>
      <c r="J438">
        <v>0</v>
      </c>
      <c r="K438">
        <v>20</v>
      </c>
      <c r="L438">
        <v>2549.0304</v>
      </c>
      <c r="M438">
        <v>0</v>
      </c>
      <c r="N438">
        <v>320</v>
      </c>
      <c r="P438" s="3" t="s">
        <v>79</v>
      </c>
    </row>
    <row r="439" spans="1:16">
      <c r="A439" s="2">
        <v>437</v>
      </c>
      <c r="B439" s="2">
        <v>15.52</v>
      </c>
      <c r="C439" t="s">
        <v>978</v>
      </c>
      <c r="D439" s="3" t="s">
        <v>313</v>
      </c>
      <c r="E439" t="s">
        <v>234</v>
      </c>
      <c r="F439">
        <v>1</v>
      </c>
      <c r="I439">
        <v>56254.8</v>
      </c>
      <c r="J439">
        <v>0</v>
      </c>
      <c r="K439">
        <v>40000</v>
      </c>
      <c r="L439">
        <v>56254.8</v>
      </c>
      <c r="M439">
        <v>0</v>
      </c>
      <c r="N439">
        <v>40000</v>
      </c>
      <c r="P439" s="3" t="s">
        <v>79</v>
      </c>
    </row>
    <row r="440" spans="1:16">
      <c r="A440" s="2">
        <v>438</v>
      </c>
      <c r="B440" s="2">
        <v>15.53</v>
      </c>
      <c r="C440" t="s">
        <v>979</v>
      </c>
      <c r="D440" s="3" t="s">
        <v>915</v>
      </c>
      <c r="E440" t="s">
        <v>64</v>
      </c>
      <c r="F440">
        <v>2</v>
      </c>
      <c r="I440">
        <v>1062.096</v>
      </c>
      <c r="J440">
        <v>0</v>
      </c>
      <c r="K440">
        <v>800</v>
      </c>
      <c r="L440">
        <v>2124.192</v>
      </c>
      <c r="M440">
        <v>0</v>
      </c>
      <c r="N440">
        <v>1600</v>
      </c>
      <c r="P440" s="3" t="s">
        <v>79</v>
      </c>
    </row>
    <row r="441" spans="1:16">
      <c r="A441" s="2">
        <v>439</v>
      </c>
      <c r="B441" s="2">
        <v>15.54</v>
      </c>
      <c r="C441" t="s">
        <v>980</v>
      </c>
      <c r="D441" s="3" t="s">
        <v>966</v>
      </c>
      <c r="E441" t="s">
        <v>59</v>
      </c>
      <c r="F441">
        <v>6</v>
      </c>
      <c r="I441">
        <v>225.6954</v>
      </c>
      <c r="J441">
        <v>0</v>
      </c>
      <c r="K441">
        <v>20</v>
      </c>
      <c r="L441">
        <v>1354.1724</v>
      </c>
      <c r="M441">
        <v>0</v>
      </c>
      <c r="N441">
        <v>120</v>
      </c>
      <c r="P441" s="3" t="s">
        <v>79</v>
      </c>
    </row>
    <row r="442" spans="1:16">
      <c r="A442" s="2">
        <v>440</v>
      </c>
      <c r="B442" s="2">
        <v>15.55</v>
      </c>
      <c r="C442" t="s">
        <v>981</v>
      </c>
      <c r="D442" s="3" t="s">
        <v>982</v>
      </c>
      <c r="E442" t="s">
        <v>59</v>
      </c>
      <c r="F442">
        <v>210</v>
      </c>
      <c r="I442">
        <v>225.6954</v>
      </c>
      <c r="J442">
        <v>0</v>
      </c>
      <c r="K442">
        <v>20</v>
      </c>
      <c r="L442">
        <v>47396.034</v>
      </c>
      <c r="M442">
        <v>0</v>
      </c>
      <c r="N442">
        <v>4200</v>
      </c>
      <c r="P442" s="3" t="s">
        <v>79</v>
      </c>
    </row>
    <row r="443" ht="40.5" spans="1:16">
      <c r="A443" s="2">
        <v>441</v>
      </c>
      <c r="B443" s="2">
        <v>15.56</v>
      </c>
      <c r="C443" t="s">
        <v>983</v>
      </c>
      <c r="D443" s="3" t="s">
        <v>984</v>
      </c>
      <c r="E443" t="s">
        <v>962</v>
      </c>
      <c r="F443">
        <v>1</v>
      </c>
      <c r="I443">
        <v>8663.27610619469</v>
      </c>
      <c r="J443">
        <v>2446</v>
      </c>
      <c r="K443">
        <v>3500</v>
      </c>
      <c r="L443">
        <v>8663.27610619469</v>
      </c>
      <c r="M443">
        <v>2072</v>
      </c>
      <c r="N443">
        <v>3500</v>
      </c>
      <c r="P443" s="3" t="s">
        <v>79</v>
      </c>
    </row>
    <row r="444" spans="1:16">
      <c r="A444" s="2">
        <v>442</v>
      </c>
      <c r="B444" s="2">
        <v>15.57</v>
      </c>
      <c r="C444" t="s">
        <v>985</v>
      </c>
      <c r="D444" s="3" t="s">
        <v>986</v>
      </c>
      <c r="E444" t="s">
        <v>234</v>
      </c>
      <c r="F444">
        <v>2</v>
      </c>
      <c r="I444">
        <v>9466.6</v>
      </c>
      <c r="J444">
        <v>0</v>
      </c>
      <c r="K444">
        <v>7500</v>
      </c>
      <c r="L444">
        <v>18933.2</v>
      </c>
      <c r="M444">
        <v>0</v>
      </c>
      <c r="N444">
        <v>15000</v>
      </c>
      <c r="P444" s="3" t="s">
        <v>79</v>
      </c>
    </row>
    <row r="445" ht="27" spans="1:16">
      <c r="A445" s="2">
        <v>443</v>
      </c>
      <c r="B445" s="2">
        <v>16</v>
      </c>
      <c r="C445" t="s">
        <v>987</v>
      </c>
      <c r="D445" s="3" t="s">
        <v>988</v>
      </c>
      <c r="E445" t="s">
        <v>962</v>
      </c>
      <c r="F445">
        <v>1</v>
      </c>
      <c r="I445">
        <v>38000</v>
      </c>
      <c r="J445">
        <v>0</v>
      </c>
      <c r="K445">
        <v>30000</v>
      </c>
      <c r="L445">
        <v>38000</v>
      </c>
      <c r="M445">
        <v>0</v>
      </c>
      <c r="N445">
        <v>30000</v>
      </c>
      <c r="P445" s="3" t="s">
        <v>989</v>
      </c>
    </row>
  </sheetData>
  <pageMargins left="0.75" right="0.75" top="1" bottom="1" header="0.5" footer="0.5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1"/>
  <sheetViews>
    <sheetView workbookViewId="0">
      <selection activeCell="A10" sqref="A10"/>
    </sheetView>
  </sheetViews>
  <sheetFormatPr defaultColWidth="9" defaultRowHeight="13.5" outlineLevelCol="4"/>
  <cols>
    <col min="1" max="1" width="38.375"/>
    <col min="2" max="2" width="18.25" style="1"/>
    <col min="3" max="5" width="18.25"/>
    <col min="6" max="439" width="9.375"/>
    <col min="440" max="440" width="5.125"/>
  </cols>
  <sheetData>
    <row r="1" spans="1:5">
      <c r="A1" t="s">
        <v>992</v>
      </c>
      <c r="B1" s="1" t="s">
        <v>1332</v>
      </c>
    </row>
    <row r="3" spans="1:5">
      <c r="A3" t="s">
        <v>1110</v>
      </c>
      <c r="B3" s="1" t="s">
        <v>1333</v>
      </c>
      <c r="C3" t="s">
        <v>1334</v>
      </c>
      <c r="D3" t="s">
        <v>1335</v>
      </c>
      <c r="E3" t="s">
        <v>1336</v>
      </c>
    </row>
    <row r="4" spans="1:5">
      <c r="A4" t="s">
        <v>122</v>
      </c>
      <c r="B4" s="1">
        <v>2958644.08829734</v>
      </c>
      <c r="C4">
        <v>7251.57864778761</v>
      </c>
      <c r="D4">
        <v>3510</v>
      </c>
      <c r="E4">
        <v>2150</v>
      </c>
    </row>
    <row r="5" spans="1:5">
      <c r="A5" t="s">
        <v>68</v>
      </c>
      <c r="B5" s="1">
        <v>1515579.93738761</v>
      </c>
      <c r="C5">
        <v>7251.57864778761</v>
      </c>
      <c r="D5">
        <v>3510</v>
      </c>
      <c r="E5">
        <v>2150</v>
      </c>
    </row>
    <row r="6" spans="1:5">
      <c r="A6" t="s">
        <v>120</v>
      </c>
      <c r="B6" s="1">
        <v>836082</v>
      </c>
      <c r="C6">
        <v>5161</v>
      </c>
      <c r="D6">
        <v>9750</v>
      </c>
      <c r="E6">
        <v>2550</v>
      </c>
    </row>
    <row r="7" spans="1:5">
      <c r="A7" t="s">
        <v>433</v>
      </c>
      <c r="B7" s="1">
        <v>603897.812389381</v>
      </c>
      <c r="C7">
        <v>9290.73557522124</v>
      </c>
      <c r="D7">
        <v>4060</v>
      </c>
      <c r="E7">
        <v>2600</v>
      </c>
    </row>
    <row r="8" spans="1:5">
      <c r="A8" t="s">
        <v>216</v>
      </c>
      <c r="B8" s="1">
        <v>602270.362423894</v>
      </c>
      <c r="C8">
        <v>823.89926460177</v>
      </c>
      <c r="D8">
        <v>275</v>
      </c>
      <c r="E8">
        <v>100</v>
      </c>
    </row>
    <row r="9" spans="1:5">
      <c r="A9" t="s">
        <v>198</v>
      </c>
      <c r="B9" s="1">
        <v>492417.245564602</v>
      </c>
      <c r="C9">
        <v>7694.0194619469</v>
      </c>
      <c r="D9">
        <v>3911</v>
      </c>
      <c r="E9">
        <v>2151</v>
      </c>
    </row>
    <row r="10" spans="1:5">
      <c r="A10" t="s">
        <v>117</v>
      </c>
      <c r="B10" s="1">
        <v>470902.752254867</v>
      </c>
      <c r="C10">
        <v>1499.69029380531</v>
      </c>
      <c r="D10">
        <v>570.75</v>
      </c>
      <c r="E10">
        <v>415</v>
      </c>
    </row>
    <row r="11" spans="1:5">
      <c r="A11" t="s">
        <v>138</v>
      </c>
      <c r="B11" s="1">
        <v>446271.978143628</v>
      </c>
      <c r="C11">
        <v>901.55955180531</v>
      </c>
      <c r="D11">
        <v>260</v>
      </c>
      <c r="E11">
        <v>235</v>
      </c>
    </row>
    <row r="12" spans="1:5">
      <c r="A12" t="s">
        <v>905</v>
      </c>
      <c r="B12" s="1">
        <v>441073.296</v>
      </c>
      <c r="C12">
        <v>122.52036</v>
      </c>
      <c r="D12">
        <v>82</v>
      </c>
      <c r="E12">
        <v>5</v>
      </c>
    </row>
    <row r="13" spans="1:5">
      <c r="A13" t="s">
        <v>164</v>
      </c>
      <c r="B13" s="1">
        <v>380437.147752213</v>
      </c>
      <c r="C13">
        <v>3019.34244247788</v>
      </c>
      <c r="D13">
        <v>800</v>
      </c>
      <c r="E13">
        <v>680</v>
      </c>
    </row>
    <row r="14" spans="1:5">
      <c r="A14" t="s">
        <v>81</v>
      </c>
      <c r="B14" s="1">
        <v>368802.568920354</v>
      </c>
      <c r="C14">
        <v>108.153246017699</v>
      </c>
      <c r="D14">
        <v>50.5</v>
      </c>
      <c r="E14">
        <v>22</v>
      </c>
    </row>
    <row r="15" spans="1:5">
      <c r="A15" t="s">
        <v>196</v>
      </c>
      <c r="B15" s="1">
        <v>362578.932389381</v>
      </c>
      <c r="C15">
        <v>7251.57864778761</v>
      </c>
      <c r="D15">
        <v>3510</v>
      </c>
      <c r="E15">
        <v>2150</v>
      </c>
    </row>
    <row r="16" spans="1:5">
      <c r="A16" t="s">
        <v>140</v>
      </c>
      <c r="B16" s="1">
        <v>306563.4</v>
      </c>
      <c r="C16">
        <v>5161</v>
      </c>
      <c r="D16">
        <v>3250</v>
      </c>
      <c r="E16">
        <v>850</v>
      </c>
    </row>
    <row r="17" spans="1:5">
      <c r="A17" t="s">
        <v>190</v>
      </c>
      <c r="B17" s="1">
        <v>270467.865541593</v>
      </c>
      <c r="C17">
        <v>901.55955180531</v>
      </c>
      <c r="D17">
        <v>260</v>
      </c>
      <c r="E17">
        <v>235</v>
      </c>
    </row>
    <row r="18" spans="1:5">
      <c r="A18" t="s">
        <v>220</v>
      </c>
      <c r="B18" s="1">
        <v>264243.2</v>
      </c>
      <c r="C18">
        <v>5161</v>
      </c>
      <c r="D18">
        <v>3250</v>
      </c>
      <c r="E18">
        <v>850</v>
      </c>
    </row>
    <row r="19" spans="1:5">
      <c r="A19" t="s">
        <v>641</v>
      </c>
      <c r="B19" s="1">
        <v>244845.882256637</v>
      </c>
      <c r="C19">
        <v>12326.8331858407</v>
      </c>
      <c r="D19">
        <v>13400</v>
      </c>
      <c r="E19">
        <v>8000</v>
      </c>
    </row>
    <row r="20" spans="1:5">
      <c r="A20" t="s">
        <v>179</v>
      </c>
      <c r="B20" s="1">
        <v>236958.586915221</v>
      </c>
      <c r="C20">
        <v>1030.25472571835</v>
      </c>
      <c r="D20">
        <v>260</v>
      </c>
      <c r="E20">
        <v>192.5</v>
      </c>
    </row>
    <row r="21" spans="1:5">
      <c r="A21" t="s">
        <v>72</v>
      </c>
      <c r="B21" s="1">
        <v>202726.869069027</v>
      </c>
      <c r="C21">
        <v>127.021847787611</v>
      </c>
      <c r="D21">
        <v>144</v>
      </c>
      <c r="E21">
        <v>44</v>
      </c>
    </row>
    <row r="22" spans="1:5">
      <c r="A22" t="s">
        <v>1293</v>
      </c>
      <c r="B22" s="1">
        <v>195000</v>
      </c>
      <c r="C22">
        <v>26</v>
      </c>
      <c r="D22">
        <v>0</v>
      </c>
      <c r="E22">
        <v>2</v>
      </c>
    </row>
    <row r="23" spans="1:5">
      <c r="A23" t="s">
        <v>142</v>
      </c>
      <c r="B23" s="1">
        <v>187445.319479646</v>
      </c>
      <c r="C23">
        <v>8055.23504424779</v>
      </c>
      <c r="D23">
        <v>4600</v>
      </c>
      <c r="E23">
        <v>1300</v>
      </c>
    </row>
    <row r="24" spans="1:5">
      <c r="A24" t="s">
        <v>1305</v>
      </c>
      <c r="B24" s="1">
        <v>185866.8</v>
      </c>
      <c r="C24">
        <v>265.524</v>
      </c>
      <c r="D24">
        <v>0</v>
      </c>
      <c r="E24">
        <v>50</v>
      </c>
    </row>
    <row r="25" spans="1:5">
      <c r="A25" t="s">
        <v>212</v>
      </c>
      <c r="B25" s="1">
        <v>182281.890318583</v>
      </c>
      <c r="C25">
        <v>121.521260212389</v>
      </c>
      <c r="D25">
        <v>32.25</v>
      </c>
      <c r="E25">
        <v>25</v>
      </c>
    </row>
    <row r="26" spans="1:5">
      <c r="A26" t="s">
        <v>162</v>
      </c>
      <c r="B26" s="1">
        <v>182252.853876106</v>
      </c>
      <c r="C26">
        <v>2892.90244247788</v>
      </c>
      <c r="D26">
        <v>800</v>
      </c>
      <c r="E26">
        <v>680</v>
      </c>
    </row>
    <row r="27" spans="1:5">
      <c r="A27" t="s">
        <v>1173</v>
      </c>
      <c r="B27" s="1">
        <v>175724.49029499</v>
      </c>
      <c r="C27">
        <v>13.40446575</v>
      </c>
      <c r="E27">
        <v>172.5</v>
      </c>
    </row>
    <row r="28" spans="1:5">
      <c r="A28" t="s">
        <v>1170</v>
      </c>
      <c r="B28" s="1">
        <v>165916.443185841</v>
      </c>
      <c r="C28">
        <v>691.318513274336</v>
      </c>
      <c r="D28">
        <v>350</v>
      </c>
      <c r="E28">
        <v>100</v>
      </c>
    </row>
    <row r="29" spans="1:5">
      <c r="A29" t="s">
        <v>1141</v>
      </c>
      <c r="B29" s="1">
        <v>160772.475865779</v>
      </c>
      <c r="C29">
        <v>9070.15204612832</v>
      </c>
      <c r="D29">
        <v>28200</v>
      </c>
      <c r="E29">
        <v>15600</v>
      </c>
    </row>
    <row r="30" spans="1:5">
      <c r="A30" t="s">
        <v>1303</v>
      </c>
      <c r="B30" s="1">
        <v>159314.4</v>
      </c>
      <c r="C30">
        <v>796.572</v>
      </c>
      <c r="D30">
        <v>0</v>
      </c>
      <c r="E30">
        <v>600</v>
      </c>
    </row>
    <row r="31" spans="1:5">
      <c r="A31" t="s">
        <v>957</v>
      </c>
      <c r="B31" s="1">
        <v>158425.3194384</v>
      </c>
      <c r="C31">
        <v>929.334</v>
      </c>
      <c r="D31">
        <v>0</v>
      </c>
      <c r="E31">
        <v>1400</v>
      </c>
    </row>
    <row r="32" spans="1:5">
      <c r="A32" t="s">
        <v>1286</v>
      </c>
      <c r="B32" s="1">
        <v>153031.350233628</v>
      </c>
      <c r="C32">
        <v>1020.20900155752</v>
      </c>
      <c r="D32">
        <v>260</v>
      </c>
      <c r="E32">
        <v>335</v>
      </c>
    </row>
    <row r="33" spans="1:5">
      <c r="A33" t="s">
        <v>1291</v>
      </c>
      <c r="B33" s="1">
        <v>148800</v>
      </c>
      <c r="C33">
        <v>248</v>
      </c>
      <c r="D33">
        <v>56.35</v>
      </c>
      <c r="E33">
        <v>35</v>
      </c>
    </row>
    <row r="34" spans="1:5">
      <c r="A34" t="s">
        <v>972</v>
      </c>
      <c r="B34" s="1">
        <v>135417.24</v>
      </c>
      <c r="C34">
        <v>225.6954</v>
      </c>
      <c r="D34">
        <v>0</v>
      </c>
      <c r="E34">
        <v>20</v>
      </c>
    </row>
    <row r="35" spans="1:5">
      <c r="A35" t="s">
        <v>349</v>
      </c>
      <c r="B35" s="1">
        <v>130779.459625221</v>
      </c>
      <c r="C35">
        <v>6745.56211128319</v>
      </c>
      <c r="D35">
        <v>13530</v>
      </c>
      <c r="E35">
        <v>7820</v>
      </c>
    </row>
    <row r="36" spans="1:5">
      <c r="A36" t="s">
        <v>158</v>
      </c>
      <c r="B36" s="1">
        <v>124741.06040708</v>
      </c>
      <c r="C36">
        <v>2640.02244247788</v>
      </c>
      <c r="D36">
        <v>800</v>
      </c>
      <c r="E36">
        <v>680</v>
      </c>
    </row>
    <row r="37" spans="1:5">
      <c r="A37" t="s">
        <v>952</v>
      </c>
      <c r="B37" s="1">
        <v>118715.7804</v>
      </c>
      <c r="C37">
        <v>225.6954</v>
      </c>
      <c r="D37">
        <v>0</v>
      </c>
      <c r="E37">
        <v>20</v>
      </c>
    </row>
    <row r="38" spans="1:5">
      <c r="A38" t="s">
        <v>127</v>
      </c>
      <c r="B38" s="1">
        <v>116957</v>
      </c>
      <c r="C38">
        <v>4678.28</v>
      </c>
      <c r="D38">
        <v>2200</v>
      </c>
      <c r="E38">
        <v>1500</v>
      </c>
    </row>
    <row r="39" spans="1:5">
      <c r="A39" t="s">
        <v>125</v>
      </c>
      <c r="B39" s="1">
        <v>115373.702654867</v>
      </c>
      <c r="C39">
        <v>7691.58017699115</v>
      </c>
      <c r="D39">
        <v>3910</v>
      </c>
      <c r="E39">
        <v>2150</v>
      </c>
    </row>
    <row r="40" spans="1:5">
      <c r="A40" t="s">
        <v>1178</v>
      </c>
      <c r="B40" s="1">
        <v>111216.96157845</v>
      </c>
      <c r="C40">
        <v>7.1595342</v>
      </c>
      <c r="E40">
        <v>46</v>
      </c>
    </row>
    <row r="41" spans="1:5">
      <c r="A41" t="s">
        <v>184</v>
      </c>
      <c r="B41" s="1">
        <v>109844.357252743</v>
      </c>
      <c r="C41">
        <v>784.60255180531</v>
      </c>
      <c r="D41">
        <v>260</v>
      </c>
      <c r="E41">
        <v>192.5</v>
      </c>
    </row>
    <row r="42" spans="1:5">
      <c r="A42" t="s">
        <v>963</v>
      </c>
      <c r="B42" s="1">
        <v>106209.6</v>
      </c>
      <c r="C42">
        <v>1062.096</v>
      </c>
      <c r="D42">
        <v>0</v>
      </c>
      <c r="E42">
        <v>800</v>
      </c>
    </row>
    <row r="43" spans="1:5">
      <c r="A43" t="s">
        <v>148</v>
      </c>
      <c r="B43" s="1">
        <v>105722.101069027</v>
      </c>
      <c r="C43">
        <v>7551.57864778761</v>
      </c>
      <c r="D43">
        <v>3910</v>
      </c>
      <c r="E43">
        <v>2150</v>
      </c>
    </row>
    <row r="44" spans="1:5">
      <c r="A44" t="s">
        <v>114</v>
      </c>
      <c r="B44" s="1">
        <v>101998.33173469</v>
      </c>
      <c r="C44">
        <v>784.60255180531</v>
      </c>
      <c r="D44">
        <v>260</v>
      </c>
      <c r="E44">
        <v>192.5</v>
      </c>
    </row>
    <row r="45" spans="1:5">
      <c r="A45" t="s">
        <v>1302</v>
      </c>
      <c r="B45" s="1">
        <v>100368.072</v>
      </c>
      <c r="C45">
        <v>26.5524</v>
      </c>
      <c r="D45">
        <v>0</v>
      </c>
      <c r="E45">
        <v>20</v>
      </c>
    </row>
    <row r="46" spans="1:5">
      <c r="A46" t="s">
        <v>87</v>
      </c>
      <c r="B46" s="1">
        <v>99756.0664848754</v>
      </c>
      <c r="C46">
        <v>64.015135841724</v>
      </c>
      <c r="D46">
        <v>41</v>
      </c>
      <c r="E46">
        <v>10</v>
      </c>
    </row>
    <row r="47" spans="1:5">
      <c r="A47" t="s">
        <v>320</v>
      </c>
      <c r="B47" s="1">
        <v>97999.657300885</v>
      </c>
      <c r="C47">
        <v>39199.862920354</v>
      </c>
      <c r="D47">
        <v>30000</v>
      </c>
      <c r="E47">
        <v>3800</v>
      </c>
    </row>
    <row r="48" spans="1:5">
      <c r="A48" t="s">
        <v>57</v>
      </c>
      <c r="B48" s="1">
        <v>95328.1982166372</v>
      </c>
      <c r="C48">
        <v>794.40165180531</v>
      </c>
      <c r="D48">
        <v>260</v>
      </c>
      <c r="E48">
        <v>192.5</v>
      </c>
    </row>
    <row r="49" spans="1:5">
      <c r="A49" t="s">
        <v>133</v>
      </c>
      <c r="B49" s="1">
        <v>89202.33</v>
      </c>
      <c r="C49">
        <v>2300.445</v>
      </c>
      <c r="D49">
        <v>3000</v>
      </c>
      <c r="E49">
        <v>600</v>
      </c>
    </row>
    <row r="50" spans="1:5">
      <c r="A50" t="s">
        <v>1297</v>
      </c>
      <c r="B50" s="1">
        <v>87500</v>
      </c>
      <c r="C50">
        <v>25</v>
      </c>
      <c r="D50">
        <v>0</v>
      </c>
      <c r="E50">
        <v>5</v>
      </c>
    </row>
    <row r="51" spans="1:5">
      <c r="A51" t="s">
        <v>385</v>
      </c>
      <c r="B51" s="1">
        <v>87160.6334442477</v>
      </c>
      <c r="C51">
        <v>577.736679946903</v>
      </c>
      <c r="D51">
        <v>1170</v>
      </c>
      <c r="E51">
        <v>245</v>
      </c>
    </row>
    <row r="52" spans="1:5">
      <c r="A52" t="s">
        <v>109</v>
      </c>
      <c r="B52" s="1">
        <v>85064.8821486723</v>
      </c>
      <c r="C52">
        <v>121.521260212389</v>
      </c>
      <c r="D52">
        <v>32.25</v>
      </c>
      <c r="E52">
        <v>25</v>
      </c>
    </row>
    <row r="53" spans="1:5">
      <c r="A53" t="s">
        <v>1323</v>
      </c>
      <c r="B53" s="1">
        <v>79657.2</v>
      </c>
      <c r="C53">
        <v>159.3144</v>
      </c>
      <c r="D53">
        <v>0</v>
      </c>
      <c r="E53">
        <v>20</v>
      </c>
    </row>
    <row r="54" spans="1:5">
      <c r="A54" t="s">
        <v>1300</v>
      </c>
      <c r="B54" s="1">
        <v>77267.484</v>
      </c>
      <c r="C54">
        <v>796.572</v>
      </c>
      <c r="D54">
        <v>0</v>
      </c>
      <c r="E54">
        <v>600</v>
      </c>
    </row>
    <row r="55" spans="1:5">
      <c r="A55" t="s">
        <v>182</v>
      </c>
      <c r="B55" s="1">
        <v>72414.2296624779</v>
      </c>
      <c r="C55">
        <v>804.60255180531</v>
      </c>
      <c r="D55">
        <v>260</v>
      </c>
      <c r="E55">
        <v>192.5</v>
      </c>
    </row>
    <row r="56" spans="1:5">
      <c r="A56" t="s">
        <v>92</v>
      </c>
      <c r="B56" s="1">
        <v>71752.373504</v>
      </c>
      <c r="C56">
        <v>1208.7664</v>
      </c>
      <c r="D56">
        <v>872</v>
      </c>
      <c r="E56">
        <v>1040</v>
      </c>
    </row>
    <row r="57" spans="1:5">
      <c r="A57" t="s">
        <v>153</v>
      </c>
      <c r="B57" s="1">
        <v>70103.7069026549</v>
      </c>
      <c r="C57">
        <v>584.197557522124</v>
      </c>
      <c r="D57">
        <v>330</v>
      </c>
      <c r="E57">
        <v>120</v>
      </c>
    </row>
    <row r="58" spans="1:5">
      <c r="A58" t="s">
        <v>1183</v>
      </c>
      <c r="B58" s="1">
        <v>68016.122920354</v>
      </c>
      <c r="C58">
        <v>7557.34699115044</v>
      </c>
      <c r="D58">
        <v>3510</v>
      </c>
      <c r="E58">
        <v>2150</v>
      </c>
    </row>
    <row r="59" spans="1:5">
      <c r="A59" t="s">
        <v>964</v>
      </c>
      <c r="B59" s="1">
        <v>67761.7248</v>
      </c>
      <c r="C59">
        <v>1062.096</v>
      </c>
      <c r="D59">
        <v>0</v>
      </c>
      <c r="E59">
        <v>800</v>
      </c>
    </row>
    <row r="60" spans="1:5">
      <c r="A60" t="s">
        <v>166</v>
      </c>
      <c r="B60" s="1">
        <v>67675.4882442479</v>
      </c>
      <c r="C60">
        <v>2387.14244247788</v>
      </c>
      <c r="D60">
        <v>800</v>
      </c>
      <c r="E60">
        <v>580</v>
      </c>
    </row>
    <row r="61" spans="1:5">
      <c r="A61" t="s">
        <v>1140</v>
      </c>
      <c r="B61" s="1">
        <v>61866.8895464868</v>
      </c>
      <c r="C61">
        <v>8394.42191946903</v>
      </c>
      <c r="D61">
        <v>3900</v>
      </c>
      <c r="E61">
        <v>2600</v>
      </c>
    </row>
    <row r="62" spans="1:5">
      <c r="A62" t="s">
        <v>1287</v>
      </c>
      <c r="B62" s="1">
        <v>61023.1044181521</v>
      </c>
      <c r="C62">
        <v>117.352123881062</v>
      </c>
      <c r="D62">
        <v>10.44435</v>
      </c>
      <c r="E62">
        <v>50</v>
      </c>
    </row>
    <row r="63" spans="1:5">
      <c r="A63" t="s">
        <v>1284</v>
      </c>
      <c r="B63" s="1">
        <v>57732.64</v>
      </c>
      <c r="C63">
        <v>28866.32</v>
      </c>
      <c r="D63">
        <v>0</v>
      </c>
      <c r="E63">
        <v>20000</v>
      </c>
    </row>
    <row r="64" spans="1:5">
      <c r="A64" t="s">
        <v>1142</v>
      </c>
      <c r="B64" s="1">
        <v>57417.8459291682</v>
      </c>
      <c r="C64">
        <v>8394.42191946903</v>
      </c>
      <c r="D64">
        <v>3900</v>
      </c>
      <c r="E64">
        <v>2600</v>
      </c>
    </row>
    <row r="65" spans="1:5">
      <c r="A65" t="s">
        <v>1272</v>
      </c>
      <c r="B65" s="1">
        <v>56789.9592</v>
      </c>
      <c r="C65">
        <v>11.36398575</v>
      </c>
      <c r="E65">
        <v>16</v>
      </c>
    </row>
    <row r="66" spans="1:5">
      <c r="A66" t="s">
        <v>978</v>
      </c>
      <c r="B66" s="1">
        <v>56254.8</v>
      </c>
      <c r="C66">
        <v>56254.8</v>
      </c>
      <c r="D66">
        <v>0</v>
      </c>
      <c r="E66">
        <v>40000</v>
      </c>
    </row>
    <row r="67" spans="1:5">
      <c r="A67" t="s">
        <v>312</v>
      </c>
      <c r="B67" s="1">
        <v>55666</v>
      </c>
      <c r="C67">
        <v>55666</v>
      </c>
      <c r="D67">
        <v>0</v>
      </c>
      <c r="E67">
        <v>40000</v>
      </c>
    </row>
    <row r="68" spans="1:5">
      <c r="A68" t="s">
        <v>1125</v>
      </c>
      <c r="B68" s="1">
        <v>55666</v>
      </c>
      <c r="C68">
        <v>55666</v>
      </c>
      <c r="D68">
        <v>0</v>
      </c>
      <c r="E68">
        <v>40000</v>
      </c>
    </row>
    <row r="69" spans="1:5">
      <c r="A69" t="s">
        <v>1289</v>
      </c>
      <c r="B69" s="1">
        <v>52599.04</v>
      </c>
      <c r="C69">
        <v>26299.52</v>
      </c>
      <c r="D69">
        <v>0</v>
      </c>
      <c r="E69">
        <v>0</v>
      </c>
    </row>
    <row r="70" spans="1:5">
      <c r="A70" t="s">
        <v>1124</v>
      </c>
      <c r="B70" s="1">
        <v>51666</v>
      </c>
      <c r="C70">
        <v>25833</v>
      </c>
      <c r="D70">
        <v>0</v>
      </c>
      <c r="E70">
        <v>20000</v>
      </c>
    </row>
    <row r="71" spans="1:5">
      <c r="A71" t="s">
        <v>1189</v>
      </c>
      <c r="B71" s="1">
        <v>49450.575</v>
      </c>
      <c r="C71">
        <v>35.83375</v>
      </c>
      <c r="E71">
        <v>25</v>
      </c>
    </row>
    <row r="72" spans="1:5">
      <c r="A72" t="s">
        <v>1310</v>
      </c>
      <c r="B72" s="1">
        <v>47794.32</v>
      </c>
      <c r="C72">
        <v>796.572</v>
      </c>
      <c r="D72">
        <v>0</v>
      </c>
      <c r="E72">
        <v>600</v>
      </c>
    </row>
    <row r="73" spans="1:5">
      <c r="A73" t="s">
        <v>981</v>
      </c>
      <c r="B73" s="1">
        <v>47396.034</v>
      </c>
      <c r="C73">
        <v>225.6954</v>
      </c>
      <c r="D73">
        <v>0</v>
      </c>
      <c r="E73">
        <v>20</v>
      </c>
    </row>
    <row r="74" spans="1:5">
      <c r="A74" t="s">
        <v>62</v>
      </c>
      <c r="B74" s="1">
        <v>46449</v>
      </c>
      <c r="C74">
        <v>5161</v>
      </c>
      <c r="D74">
        <v>3250</v>
      </c>
      <c r="E74">
        <v>850</v>
      </c>
    </row>
    <row r="75" spans="1:5">
      <c r="A75" t="s">
        <v>186</v>
      </c>
      <c r="B75" s="1">
        <v>45077.9775902655</v>
      </c>
      <c r="C75">
        <v>901.55955180531</v>
      </c>
      <c r="D75">
        <v>260</v>
      </c>
      <c r="E75">
        <v>235</v>
      </c>
    </row>
    <row r="76" spans="1:5">
      <c r="A76" t="s">
        <v>1308</v>
      </c>
      <c r="B76" s="1">
        <v>44608.032</v>
      </c>
      <c r="C76">
        <v>796.572</v>
      </c>
      <c r="D76">
        <v>0</v>
      </c>
      <c r="E76">
        <v>600</v>
      </c>
    </row>
    <row r="77" spans="1:5">
      <c r="A77" t="s">
        <v>192</v>
      </c>
      <c r="B77" s="1">
        <v>42652.5459268142</v>
      </c>
      <c r="C77">
        <v>947.834353929204</v>
      </c>
      <c r="D77">
        <v>300</v>
      </c>
      <c r="E77">
        <v>235</v>
      </c>
    </row>
    <row r="78" spans="1:5">
      <c r="A78" t="s">
        <v>222</v>
      </c>
      <c r="B78" s="1">
        <v>40718.1054</v>
      </c>
      <c r="C78">
        <v>193.89574</v>
      </c>
      <c r="D78">
        <v>103</v>
      </c>
      <c r="E78">
        <v>10</v>
      </c>
    </row>
    <row r="79" spans="1:5">
      <c r="A79" t="s">
        <v>1280</v>
      </c>
      <c r="B79" s="1">
        <v>40504.2365</v>
      </c>
      <c r="C79">
        <v>5.77592816666667</v>
      </c>
      <c r="E79">
        <v>12</v>
      </c>
    </row>
    <row r="80" spans="1:5">
      <c r="A80" t="s">
        <v>1309</v>
      </c>
      <c r="B80" s="1">
        <v>39828.6</v>
      </c>
      <c r="C80">
        <v>796.572</v>
      </c>
      <c r="D80">
        <v>0</v>
      </c>
      <c r="E80">
        <v>600</v>
      </c>
    </row>
    <row r="81" spans="1:5">
      <c r="A81" t="s">
        <v>987</v>
      </c>
      <c r="B81" s="1">
        <v>38000</v>
      </c>
      <c r="C81">
        <v>38000</v>
      </c>
      <c r="D81">
        <v>0</v>
      </c>
      <c r="E81">
        <v>30000</v>
      </c>
    </row>
    <row r="82" spans="1:5">
      <c r="A82" t="s">
        <v>616</v>
      </c>
      <c r="B82" s="1">
        <v>36697.4910796461</v>
      </c>
      <c r="C82">
        <v>249.642796460177</v>
      </c>
      <c r="D82">
        <v>95</v>
      </c>
      <c r="E82">
        <v>100</v>
      </c>
    </row>
    <row r="83" spans="1:5">
      <c r="A83" t="s">
        <v>1327</v>
      </c>
      <c r="B83" s="1">
        <v>36509.55</v>
      </c>
      <c r="C83">
        <v>73.0191</v>
      </c>
      <c r="D83">
        <v>0</v>
      </c>
      <c r="E83">
        <v>25</v>
      </c>
    </row>
    <row r="84" spans="1:5">
      <c r="A84" t="s">
        <v>1176</v>
      </c>
      <c r="B84" s="1">
        <v>35732.216788632</v>
      </c>
      <c r="C84">
        <v>22.8969134667</v>
      </c>
      <c r="E84">
        <v>66</v>
      </c>
    </row>
    <row r="85" spans="1:5">
      <c r="A85" t="s">
        <v>1175</v>
      </c>
      <c r="B85" s="1">
        <v>33672.95722245</v>
      </c>
      <c r="C85">
        <v>9.77071095</v>
      </c>
      <c r="E85">
        <v>31</v>
      </c>
    </row>
    <row r="86" spans="1:5">
      <c r="A86" t="s">
        <v>965</v>
      </c>
      <c r="B86" s="1">
        <v>31132.689</v>
      </c>
      <c r="C86">
        <v>92.9334</v>
      </c>
      <c r="D86">
        <v>0</v>
      </c>
      <c r="E86">
        <v>20</v>
      </c>
    </row>
    <row r="87" spans="1:5">
      <c r="A87" t="s">
        <v>1159</v>
      </c>
      <c r="B87" s="1">
        <v>29294.622</v>
      </c>
      <c r="C87">
        <v>1084.986</v>
      </c>
      <c r="D87">
        <v>0</v>
      </c>
      <c r="E87">
        <v>800</v>
      </c>
    </row>
    <row r="88" spans="1:5">
      <c r="A88" t="s">
        <v>1301</v>
      </c>
      <c r="B88" s="1">
        <v>29207.64</v>
      </c>
      <c r="C88">
        <v>26.5524</v>
      </c>
      <c r="D88">
        <v>0</v>
      </c>
      <c r="E88">
        <v>20</v>
      </c>
    </row>
    <row r="89" spans="1:5">
      <c r="A89" t="s">
        <v>1318</v>
      </c>
      <c r="B89" s="1">
        <v>28652.4</v>
      </c>
      <c r="C89">
        <v>28652.4</v>
      </c>
      <c r="D89">
        <v>0</v>
      </c>
      <c r="E89">
        <v>10000</v>
      </c>
    </row>
    <row r="90" spans="1:5">
      <c r="A90" t="s">
        <v>951</v>
      </c>
      <c r="B90" s="1">
        <v>27614.496</v>
      </c>
      <c r="C90">
        <v>10.62096</v>
      </c>
      <c r="D90">
        <v>0</v>
      </c>
      <c r="E90">
        <v>8</v>
      </c>
    </row>
    <row r="91" spans="1:5">
      <c r="A91" t="s">
        <v>1153</v>
      </c>
      <c r="B91" s="1">
        <v>27072.984</v>
      </c>
      <c r="C91">
        <v>27072.984</v>
      </c>
      <c r="D91">
        <v>0</v>
      </c>
      <c r="E91">
        <v>20000</v>
      </c>
    </row>
    <row r="92" spans="1:5">
      <c r="A92" t="s">
        <v>103</v>
      </c>
      <c r="B92" s="1">
        <v>26837.7292035399</v>
      </c>
      <c r="C92">
        <v>298.196991150443</v>
      </c>
      <c r="D92">
        <v>210</v>
      </c>
      <c r="E92">
        <v>50</v>
      </c>
    </row>
    <row r="93" spans="1:5">
      <c r="A93" t="s">
        <v>1179</v>
      </c>
      <c r="B93" s="1">
        <v>26737.438182</v>
      </c>
      <c r="C93">
        <v>8.2897794525</v>
      </c>
      <c r="E93">
        <v>64</v>
      </c>
    </row>
    <row r="94" spans="1:5">
      <c r="A94" t="s">
        <v>1317</v>
      </c>
      <c r="B94" s="1">
        <v>26552.4</v>
      </c>
      <c r="C94">
        <v>663.81</v>
      </c>
      <c r="D94">
        <v>0</v>
      </c>
      <c r="E94">
        <v>500</v>
      </c>
    </row>
    <row r="95" spans="1:5">
      <c r="A95" t="s">
        <v>833</v>
      </c>
      <c r="B95" s="1">
        <v>25833</v>
      </c>
      <c r="C95">
        <v>25833</v>
      </c>
      <c r="D95">
        <v>0</v>
      </c>
      <c r="E95">
        <v>20000</v>
      </c>
    </row>
    <row r="96" spans="1:5">
      <c r="A96" t="s">
        <v>970</v>
      </c>
      <c r="B96" s="1">
        <v>25224.78</v>
      </c>
      <c r="C96">
        <v>26.5524</v>
      </c>
      <c r="D96">
        <v>0</v>
      </c>
      <c r="E96">
        <v>20</v>
      </c>
    </row>
    <row r="97" spans="1:5">
      <c r="A97" t="s">
        <v>188</v>
      </c>
      <c r="B97" s="1">
        <v>24524.2548451327</v>
      </c>
      <c r="C97">
        <v>980.97019380531</v>
      </c>
      <c r="D97">
        <v>260</v>
      </c>
      <c r="E97">
        <v>335</v>
      </c>
    </row>
    <row r="98" spans="1:5">
      <c r="A98" t="s">
        <v>1161</v>
      </c>
      <c r="B98" s="1">
        <v>24412.185</v>
      </c>
      <c r="C98">
        <v>678.11625</v>
      </c>
      <c r="D98">
        <v>0</v>
      </c>
      <c r="E98">
        <v>500</v>
      </c>
    </row>
    <row r="99" spans="1:5">
      <c r="A99" t="s">
        <v>84</v>
      </c>
      <c r="B99" s="1">
        <v>24024.0475752212</v>
      </c>
      <c r="C99">
        <v>57.2001132743363</v>
      </c>
      <c r="D99">
        <v>20</v>
      </c>
      <c r="E99">
        <v>22</v>
      </c>
    </row>
    <row r="100" spans="1:5">
      <c r="A100" t="s">
        <v>1190</v>
      </c>
      <c r="B100" s="1">
        <v>22472.0613</v>
      </c>
      <c r="C100">
        <v>7.08830633333333</v>
      </c>
      <c r="E100">
        <v>14</v>
      </c>
    </row>
    <row r="101" spans="1:5">
      <c r="A101" t="s">
        <v>1152</v>
      </c>
      <c r="B101" s="1">
        <v>21658.3872</v>
      </c>
      <c r="C101">
        <v>3609.7312</v>
      </c>
      <c r="D101">
        <v>0</v>
      </c>
      <c r="E101">
        <v>8000</v>
      </c>
    </row>
    <row r="102" spans="1:5">
      <c r="A102" t="s">
        <v>954</v>
      </c>
      <c r="B102" s="1">
        <v>19184.109</v>
      </c>
      <c r="C102">
        <v>225.6954</v>
      </c>
      <c r="D102">
        <v>0</v>
      </c>
      <c r="E102">
        <v>20</v>
      </c>
    </row>
    <row r="103" spans="1:5">
      <c r="A103" t="s">
        <v>985</v>
      </c>
      <c r="B103" s="1">
        <v>18933.2</v>
      </c>
      <c r="C103">
        <v>9466.6</v>
      </c>
      <c r="D103">
        <v>0</v>
      </c>
      <c r="E103">
        <v>7500</v>
      </c>
    </row>
    <row r="104" spans="1:5">
      <c r="A104" t="s">
        <v>969</v>
      </c>
      <c r="B104" s="1">
        <v>18055.632</v>
      </c>
      <c r="C104">
        <v>1062.096</v>
      </c>
      <c r="D104">
        <v>0</v>
      </c>
      <c r="E104">
        <v>800</v>
      </c>
    </row>
    <row r="105" spans="1:5">
      <c r="A105" t="s">
        <v>1311</v>
      </c>
      <c r="B105" s="1">
        <v>17564.4126</v>
      </c>
      <c r="C105">
        <v>92.9334</v>
      </c>
      <c r="D105">
        <v>0</v>
      </c>
      <c r="E105">
        <v>20</v>
      </c>
    </row>
    <row r="106" spans="1:5">
      <c r="A106" t="s">
        <v>959</v>
      </c>
      <c r="B106" s="1">
        <v>15931.44</v>
      </c>
      <c r="C106">
        <v>796.572</v>
      </c>
      <c r="D106">
        <v>0</v>
      </c>
      <c r="E106">
        <v>600</v>
      </c>
    </row>
    <row r="107" spans="1:5">
      <c r="A107" t="s">
        <v>968</v>
      </c>
      <c r="B107" s="1">
        <v>15931.44</v>
      </c>
      <c r="C107">
        <v>1062.096</v>
      </c>
      <c r="D107">
        <v>0</v>
      </c>
      <c r="E107">
        <v>800</v>
      </c>
    </row>
    <row r="108" spans="1:5">
      <c r="A108" t="s">
        <v>169</v>
      </c>
      <c r="B108" s="1">
        <v>15362.46</v>
      </c>
      <c r="C108">
        <v>56.898</v>
      </c>
      <c r="D108">
        <v>15</v>
      </c>
      <c r="E108">
        <v>30</v>
      </c>
    </row>
    <row r="109" spans="1:5">
      <c r="A109" t="s">
        <v>145</v>
      </c>
      <c r="B109" s="1">
        <v>15103.1572955752</v>
      </c>
      <c r="C109">
        <v>7551.57864778761</v>
      </c>
      <c r="D109">
        <v>3910</v>
      </c>
      <c r="E109">
        <v>2150</v>
      </c>
    </row>
    <row r="110" spans="1:5">
      <c r="A110" t="s">
        <v>1126</v>
      </c>
      <c r="B110" s="1">
        <v>14916.5</v>
      </c>
      <c r="C110">
        <v>7458.25</v>
      </c>
      <c r="D110">
        <v>0</v>
      </c>
      <c r="E110">
        <v>5000</v>
      </c>
    </row>
    <row r="111" spans="1:5">
      <c r="A111" t="s">
        <v>955</v>
      </c>
      <c r="B111" s="1">
        <v>14869.344</v>
      </c>
      <c r="C111">
        <v>92.9334</v>
      </c>
      <c r="D111">
        <v>0</v>
      </c>
      <c r="E111">
        <v>20</v>
      </c>
    </row>
    <row r="112" spans="1:5">
      <c r="A112" t="s">
        <v>1185</v>
      </c>
      <c r="B112" s="1">
        <v>14753.1520015487</v>
      </c>
      <c r="C112">
        <v>37.2083378381795</v>
      </c>
      <c r="D112">
        <v>134</v>
      </c>
      <c r="E112">
        <v>74</v>
      </c>
    </row>
    <row r="113" spans="1:5">
      <c r="A113" t="s">
        <v>619</v>
      </c>
      <c r="B113" s="1">
        <v>14416.8714955752</v>
      </c>
      <c r="C113">
        <v>327.656170353982</v>
      </c>
      <c r="D113">
        <v>160</v>
      </c>
      <c r="E113">
        <v>100</v>
      </c>
    </row>
    <row r="114" spans="1:5">
      <c r="A114" t="s">
        <v>746</v>
      </c>
      <c r="B114" s="1">
        <v>14170</v>
      </c>
      <c r="C114">
        <v>7.085</v>
      </c>
      <c r="D114">
        <v>0</v>
      </c>
      <c r="E114">
        <v>5</v>
      </c>
    </row>
    <row r="115" spans="1:5">
      <c r="A115" t="s">
        <v>1321</v>
      </c>
      <c r="B115" s="1">
        <v>13807.248</v>
      </c>
      <c r="C115">
        <v>10.62096</v>
      </c>
      <c r="D115">
        <v>0</v>
      </c>
      <c r="E115">
        <v>8</v>
      </c>
    </row>
    <row r="116" spans="1:5">
      <c r="A116" t="s">
        <v>1180</v>
      </c>
      <c r="B116" s="1">
        <v>13318.9564599</v>
      </c>
      <c r="C116">
        <v>7.62225555</v>
      </c>
      <c r="E116">
        <v>24</v>
      </c>
    </row>
    <row r="117" spans="1:5">
      <c r="A117" t="s">
        <v>1299</v>
      </c>
      <c r="B117" s="1">
        <v>13276.2</v>
      </c>
      <c r="C117">
        <v>265.524</v>
      </c>
      <c r="D117">
        <v>0</v>
      </c>
      <c r="E117">
        <v>50</v>
      </c>
    </row>
    <row r="118" spans="1:5">
      <c r="A118" t="s">
        <v>1187</v>
      </c>
      <c r="B118" s="1">
        <v>12987.5</v>
      </c>
      <c r="C118">
        <v>12987.5</v>
      </c>
      <c r="D118">
        <v>0</v>
      </c>
      <c r="E118">
        <v>10000</v>
      </c>
    </row>
    <row r="119" spans="1:5">
      <c r="A119" t="s">
        <v>1268</v>
      </c>
      <c r="B119" s="1">
        <v>12916.5</v>
      </c>
      <c r="C119">
        <v>12916.5</v>
      </c>
      <c r="D119">
        <v>0</v>
      </c>
      <c r="E119">
        <v>10000</v>
      </c>
    </row>
    <row r="120" spans="1:5">
      <c r="A120" t="s">
        <v>1320</v>
      </c>
      <c r="B120" s="1">
        <v>12720.96</v>
      </c>
      <c r="C120">
        <v>12720.96</v>
      </c>
      <c r="D120">
        <v>0</v>
      </c>
      <c r="E120">
        <v>8000</v>
      </c>
    </row>
    <row r="121" spans="1:5">
      <c r="A121" t="s">
        <v>1155</v>
      </c>
      <c r="B121" s="1">
        <v>12182.8428</v>
      </c>
      <c r="C121">
        <v>4060.9476</v>
      </c>
      <c r="D121">
        <v>0</v>
      </c>
      <c r="E121">
        <v>6000</v>
      </c>
    </row>
    <row r="122" spans="1:5">
      <c r="A122" t="s">
        <v>201</v>
      </c>
      <c r="B122" s="1">
        <v>11769.0382770796</v>
      </c>
      <c r="C122">
        <v>784.60255180531</v>
      </c>
      <c r="D122">
        <v>260</v>
      </c>
      <c r="E122">
        <v>192.5</v>
      </c>
    </row>
    <row r="123" spans="1:5">
      <c r="A123" t="s">
        <v>229</v>
      </c>
      <c r="B123" s="1">
        <v>11333.2</v>
      </c>
      <c r="C123">
        <v>1133.32</v>
      </c>
      <c r="D123">
        <v>0</v>
      </c>
      <c r="E123">
        <v>800</v>
      </c>
    </row>
    <row r="124" spans="1:5">
      <c r="A124" t="s">
        <v>1307</v>
      </c>
      <c r="B124" s="1">
        <v>10620.96</v>
      </c>
      <c r="C124">
        <v>265.524</v>
      </c>
      <c r="D124">
        <v>0</v>
      </c>
      <c r="E124">
        <v>50</v>
      </c>
    </row>
    <row r="125" spans="1:5">
      <c r="A125" t="s">
        <v>973</v>
      </c>
      <c r="B125" s="1">
        <v>10620.96</v>
      </c>
      <c r="C125">
        <v>1062.096</v>
      </c>
      <c r="D125">
        <v>0</v>
      </c>
      <c r="E125">
        <v>800</v>
      </c>
    </row>
    <row r="126" spans="1:5">
      <c r="A126" t="s">
        <v>1325</v>
      </c>
      <c r="B126" s="1">
        <v>10620.96</v>
      </c>
      <c r="C126">
        <v>5310.48</v>
      </c>
      <c r="D126">
        <v>0</v>
      </c>
      <c r="E126">
        <v>1000</v>
      </c>
    </row>
    <row r="127" spans="1:5">
      <c r="A127" t="s">
        <v>1191</v>
      </c>
      <c r="B127" s="1">
        <v>10047.4367256637</v>
      </c>
      <c r="C127">
        <v>1674.57278761062</v>
      </c>
      <c r="D127">
        <v>900</v>
      </c>
      <c r="E127">
        <v>500</v>
      </c>
    </row>
    <row r="128" spans="1:5">
      <c r="A128" t="s">
        <v>292</v>
      </c>
      <c r="B128" s="1">
        <v>9749.9</v>
      </c>
      <c r="C128">
        <v>4874.95</v>
      </c>
      <c r="D128">
        <v>0</v>
      </c>
      <c r="E128">
        <v>3000</v>
      </c>
    </row>
    <row r="129" spans="1:5">
      <c r="A129" t="s">
        <v>96</v>
      </c>
      <c r="B129" s="1">
        <v>9421.90598230088</v>
      </c>
      <c r="C129">
        <v>261.719610619469</v>
      </c>
      <c r="D129">
        <v>200</v>
      </c>
      <c r="E129">
        <v>30</v>
      </c>
    </row>
    <row r="130" spans="1:5">
      <c r="A130" t="s">
        <v>1207</v>
      </c>
      <c r="B130" s="1">
        <v>9346.1069</v>
      </c>
      <c r="C130">
        <v>5.9138495</v>
      </c>
      <c r="E130">
        <v>8</v>
      </c>
    </row>
    <row r="131" spans="1:5">
      <c r="A131" t="s">
        <v>1282</v>
      </c>
      <c r="B131" s="1">
        <v>9204.66196</v>
      </c>
      <c r="C131">
        <v>5.74702136666667</v>
      </c>
      <c r="E131">
        <v>12</v>
      </c>
    </row>
    <row r="132" spans="1:5">
      <c r="A132" t="s">
        <v>1271</v>
      </c>
      <c r="B132" s="1">
        <v>9154.9536</v>
      </c>
      <c r="C132">
        <v>5.721846</v>
      </c>
      <c r="E132">
        <v>4</v>
      </c>
    </row>
    <row r="133" spans="1:5">
      <c r="A133" t="s">
        <v>105</v>
      </c>
      <c r="B133" s="1">
        <v>8948.08119045664</v>
      </c>
      <c r="C133">
        <v>71.6993685132744</v>
      </c>
      <c r="D133">
        <v>17.2</v>
      </c>
      <c r="E133">
        <v>20</v>
      </c>
    </row>
    <row r="134" spans="1:5">
      <c r="A134" t="s">
        <v>983</v>
      </c>
      <c r="B134" s="1">
        <v>8663.27610619469</v>
      </c>
      <c r="C134">
        <v>8663.27610619469</v>
      </c>
      <c r="D134">
        <v>2446</v>
      </c>
      <c r="E134">
        <v>3500</v>
      </c>
    </row>
    <row r="135" spans="1:5">
      <c r="A135" t="s">
        <v>1135</v>
      </c>
      <c r="B135" s="1">
        <v>8625</v>
      </c>
      <c r="C135">
        <v>34500</v>
      </c>
      <c r="D135">
        <v>29000</v>
      </c>
      <c r="E135">
        <v>3800</v>
      </c>
    </row>
    <row r="136" spans="1:5">
      <c r="A136" t="s">
        <v>1209</v>
      </c>
      <c r="B136" s="1">
        <v>8597.6475</v>
      </c>
      <c r="C136">
        <v>5.731765</v>
      </c>
      <c r="E136">
        <v>8</v>
      </c>
    </row>
    <row r="137" spans="1:5">
      <c r="A137" t="s">
        <v>1255</v>
      </c>
      <c r="B137" s="1">
        <v>8266.56</v>
      </c>
      <c r="C137">
        <v>258.33</v>
      </c>
      <c r="D137">
        <v>0</v>
      </c>
      <c r="E137">
        <v>200</v>
      </c>
    </row>
    <row r="138" spans="1:5">
      <c r="A138" t="s">
        <v>1163</v>
      </c>
      <c r="B138" s="1">
        <v>7866.1485</v>
      </c>
      <c r="C138">
        <v>271.2465</v>
      </c>
      <c r="D138">
        <v>0</v>
      </c>
      <c r="E138">
        <v>200</v>
      </c>
    </row>
    <row r="139" spans="1:5">
      <c r="A139" t="s">
        <v>176</v>
      </c>
      <c r="B139" s="1">
        <v>7851.58831858407</v>
      </c>
      <c r="C139">
        <v>261.719610619469</v>
      </c>
      <c r="D139">
        <v>200</v>
      </c>
      <c r="E139">
        <v>30</v>
      </c>
    </row>
    <row r="140" spans="1:5">
      <c r="A140" t="s">
        <v>612</v>
      </c>
      <c r="B140" s="1">
        <v>7546.8937699115</v>
      </c>
      <c r="C140">
        <v>471.680860619469</v>
      </c>
      <c r="D140">
        <v>280</v>
      </c>
      <c r="E140">
        <v>100</v>
      </c>
    </row>
    <row r="141" spans="1:5">
      <c r="A141" t="s">
        <v>1144</v>
      </c>
      <c r="B141" s="1">
        <v>7309.70568</v>
      </c>
      <c r="C141">
        <v>3654.85284</v>
      </c>
      <c r="D141">
        <v>2700</v>
      </c>
      <c r="E141">
        <v>0</v>
      </c>
    </row>
    <row r="142" spans="1:5">
      <c r="A142" t="s">
        <v>1315</v>
      </c>
      <c r="B142" s="1">
        <v>7025.76504</v>
      </c>
      <c r="C142">
        <v>92.9334</v>
      </c>
      <c r="D142">
        <v>0</v>
      </c>
      <c r="E142">
        <v>20</v>
      </c>
    </row>
    <row r="143" spans="1:5">
      <c r="A143" t="s">
        <v>290</v>
      </c>
      <c r="B143" s="1">
        <v>6966.6</v>
      </c>
      <c r="C143">
        <v>3483.3</v>
      </c>
      <c r="D143">
        <v>0</v>
      </c>
      <c r="E143">
        <v>2000</v>
      </c>
    </row>
    <row r="144" spans="1:5">
      <c r="A144" t="s">
        <v>1304</v>
      </c>
      <c r="B144" s="1">
        <v>6638.1</v>
      </c>
      <c r="C144">
        <v>265.524</v>
      </c>
      <c r="D144">
        <v>0</v>
      </c>
      <c r="E144">
        <v>50</v>
      </c>
    </row>
    <row r="145" spans="1:5">
      <c r="A145" t="s">
        <v>1319</v>
      </c>
      <c r="B145" s="1">
        <v>6638.1</v>
      </c>
      <c r="C145">
        <v>6638.1</v>
      </c>
      <c r="D145">
        <v>0</v>
      </c>
      <c r="E145">
        <v>5000</v>
      </c>
    </row>
    <row r="146" spans="1:5">
      <c r="A146" t="s">
        <v>960</v>
      </c>
      <c r="B146" s="1">
        <v>6638.1</v>
      </c>
      <c r="C146">
        <v>6638.1</v>
      </c>
      <c r="D146">
        <v>0</v>
      </c>
      <c r="E146">
        <v>5000</v>
      </c>
    </row>
    <row r="147" spans="1:5">
      <c r="A147" t="s">
        <v>1266</v>
      </c>
      <c r="B147" s="1">
        <v>6458.25</v>
      </c>
      <c r="C147">
        <v>6458.25</v>
      </c>
      <c r="D147">
        <v>0</v>
      </c>
      <c r="E147">
        <v>5000</v>
      </c>
    </row>
    <row r="148" spans="1:5">
      <c r="A148" t="s">
        <v>1294</v>
      </c>
      <c r="B148" s="1">
        <v>6322</v>
      </c>
      <c r="C148">
        <v>632.2</v>
      </c>
      <c r="D148">
        <v>0</v>
      </c>
      <c r="E148">
        <v>200</v>
      </c>
    </row>
    <row r="149" spans="1:5">
      <c r="A149" t="s">
        <v>1147</v>
      </c>
      <c r="B149" s="1">
        <v>6226.78632</v>
      </c>
      <c r="C149">
        <v>3113.39316</v>
      </c>
      <c r="D149">
        <v>2300</v>
      </c>
      <c r="E149">
        <v>0</v>
      </c>
    </row>
    <row r="150" spans="1:5">
      <c r="A150" t="s">
        <v>1194</v>
      </c>
      <c r="B150" s="1">
        <v>6199.92</v>
      </c>
      <c r="C150">
        <v>1549.98</v>
      </c>
      <c r="D150">
        <v>0</v>
      </c>
      <c r="E150">
        <v>1200</v>
      </c>
    </row>
    <row r="151" spans="1:5">
      <c r="A151" t="s">
        <v>100</v>
      </c>
      <c r="B151" s="1">
        <v>6106.89534867257</v>
      </c>
      <c r="C151">
        <v>495.689557522124</v>
      </c>
      <c r="D151">
        <v>330</v>
      </c>
      <c r="E151">
        <v>100</v>
      </c>
    </row>
    <row r="152" spans="1:5">
      <c r="A152" t="s">
        <v>1242</v>
      </c>
      <c r="B152" s="1">
        <v>5887.86650442478</v>
      </c>
      <c r="C152">
        <v>39.2524433628319</v>
      </c>
      <c r="D152">
        <v>14</v>
      </c>
      <c r="E152">
        <v>18</v>
      </c>
    </row>
    <row r="153" spans="1:5">
      <c r="A153" t="s">
        <v>203</v>
      </c>
      <c r="B153" s="1">
        <v>5780.32</v>
      </c>
      <c r="C153">
        <v>5161</v>
      </c>
      <c r="D153">
        <v>3250</v>
      </c>
      <c r="E153">
        <v>850</v>
      </c>
    </row>
    <row r="154" spans="1:5">
      <c r="A154" t="s">
        <v>1270</v>
      </c>
      <c r="B154" s="1">
        <v>5753.02</v>
      </c>
      <c r="C154">
        <v>5.75302</v>
      </c>
      <c r="E154">
        <v>4</v>
      </c>
    </row>
    <row r="155" spans="1:5">
      <c r="A155" t="s">
        <v>779</v>
      </c>
      <c r="B155" s="1">
        <v>5668</v>
      </c>
      <c r="C155">
        <v>11.336</v>
      </c>
      <c r="D155">
        <v>0</v>
      </c>
      <c r="E155">
        <v>8</v>
      </c>
    </row>
    <row r="156" spans="1:5">
      <c r="A156" t="s">
        <v>693</v>
      </c>
      <c r="B156" s="1">
        <v>5668</v>
      </c>
      <c r="C156">
        <v>11.336</v>
      </c>
      <c r="D156">
        <v>0</v>
      </c>
      <c r="E156">
        <v>8</v>
      </c>
    </row>
    <row r="157" spans="1:5">
      <c r="A157" t="s">
        <v>1213</v>
      </c>
      <c r="B157" s="1">
        <v>5668</v>
      </c>
      <c r="C157">
        <v>11.336</v>
      </c>
      <c r="D157">
        <v>0</v>
      </c>
      <c r="E157">
        <v>8</v>
      </c>
    </row>
    <row r="158" spans="1:5">
      <c r="A158" t="s">
        <v>1314</v>
      </c>
      <c r="B158" s="1">
        <v>5664.5230635</v>
      </c>
      <c r="C158">
        <v>92.9334</v>
      </c>
      <c r="D158">
        <v>0</v>
      </c>
      <c r="E158">
        <v>20</v>
      </c>
    </row>
    <row r="159" spans="1:5">
      <c r="A159" t="s">
        <v>173</v>
      </c>
      <c r="B159" s="1">
        <v>5462.208</v>
      </c>
      <c r="C159">
        <v>25.288</v>
      </c>
      <c r="D159">
        <v>10</v>
      </c>
      <c r="E159">
        <v>10</v>
      </c>
    </row>
    <row r="160" spans="1:5">
      <c r="A160" t="s">
        <v>1131</v>
      </c>
      <c r="B160" s="1">
        <v>5414.5968</v>
      </c>
      <c r="C160">
        <v>676.8246</v>
      </c>
      <c r="D160">
        <v>0</v>
      </c>
      <c r="E160">
        <v>500</v>
      </c>
    </row>
    <row r="161" spans="1:5">
      <c r="A161" t="s">
        <v>1182</v>
      </c>
      <c r="B161" s="1">
        <v>5340.349973595</v>
      </c>
      <c r="C161">
        <v>6.047961465</v>
      </c>
      <c r="E161">
        <v>4</v>
      </c>
    </row>
    <row r="162" spans="1:5">
      <c r="A162" t="s">
        <v>971</v>
      </c>
      <c r="B162" s="1">
        <v>5310.48</v>
      </c>
      <c r="C162">
        <v>1062.096</v>
      </c>
      <c r="D162">
        <v>0</v>
      </c>
      <c r="E162">
        <v>800</v>
      </c>
    </row>
    <row r="163" spans="1:5">
      <c r="A163" t="s">
        <v>1306</v>
      </c>
      <c r="B163" s="1">
        <v>5310.48</v>
      </c>
      <c r="C163">
        <v>265.524</v>
      </c>
      <c r="D163">
        <v>0</v>
      </c>
      <c r="E163">
        <v>50</v>
      </c>
    </row>
    <row r="164" spans="1:5">
      <c r="A164" t="s">
        <v>967</v>
      </c>
      <c r="B164" s="1">
        <v>5310.48</v>
      </c>
      <c r="C164">
        <v>1062.096</v>
      </c>
      <c r="D164">
        <v>0</v>
      </c>
      <c r="E164">
        <v>800</v>
      </c>
    </row>
    <row r="165" spans="1:5">
      <c r="A165" t="s">
        <v>294</v>
      </c>
      <c r="B165" s="1">
        <v>4906.624</v>
      </c>
      <c r="C165">
        <v>153.332</v>
      </c>
      <c r="D165">
        <v>0</v>
      </c>
      <c r="E165">
        <v>80</v>
      </c>
    </row>
    <row r="166" spans="1:5">
      <c r="A166" t="s">
        <v>953</v>
      </c>
      <c r="B166" s="1">
        <v>4779.432</v>
      </c>
      <c r="C166">
        <v>1194.858</v>
      </c>
      <c r="D166">
        <v>0</v>
      </c>
      <c r="E166">
        <v>900</v>
      </c>
    </row>
    <row r="167" spans="1:5">
      <c r="A167" t="s">
        <v>539</v>
      </c>
      <c r="B167" s="1">
        <v>4769.97717105</v>
      </c>
      <c r="C167">
        <v>6.2311158</v>
      </c>
      <c r="E167">
        <v>8</v>
      </c>
    </row>
    <row r="168" spans="1:5">
      <c r="A168" t="s">
        <v>1193</v>
      </c>
      <c r="B168" s="1">
        <v>4649.94</v>
      </c>
      <c r="C168">
        <v>2324.97</v>
      </c>
      <c r="D168">
        <v>0</v>
      </c>
      <c r="E168">
        <v>1800</v>
      </c>
    </row>
    <row r="169" spans="1:5">
      <c r="A169" t="s">
        <v>1162</v>
      </c>
      <c r="B169" s="1">
        <v>4585.3575</v>
      </c>
      <c r="C169">
        <v>656.58875</v>
      </c>
      <c r="D169">
        <v>0</v>
      </c>
      <c r="E169">
        <v>1500</v>
      </c>
    </row>
    <row r="170" spans="1:5">
      <c r="A170" t="s">
        <v>1177</v>
      </c>
      <c r="B170" s="1">
        <v>4197.968775</v>
      </c>
      <c r="C170">
        <v>38.1633525</v>
      </c>
      <c r="E170">
        <v>20</v>
      </c>
    </row>
    <row r="171" spans="1:5">
      <c r="A171" t="s">
        <v>1219</v>
      </c>
      <c r="B171" s="1">
        <v>4133.28</v>
      </c>
      <c r="C171">
        <v>1033.32</v>
      </c>
      <c r="D171">
        <v>0</v>
      </c>
      <c r="E171">
        <v>800</v>
      </c>
    </row>
    <row r="172" spans="1:5">
      <c r="A172" t="s">
        <v>1205</v>
      </c>
      <c r="B172" s="1">
        <v>4133.28</v>
      </c>
      <c r="C172">
        <v>1033.32</v>
      </c>
      <c r="D172">
        <v>0</v>
      </c>
      <c r="E172">
        <v>800</v>
      </c>
    </row>
    <row r="173" spans="1:5">
      <c r="A173" t="s">
        <v>672</v>
      </c>
      <c r="B173" s="1">
        <v>4133.28</v>
      </c>
      <c r="C173">
        <v>1033.32</v>
      </c>
      <c r="D173">
        <v>0</v>
      </c>
      <c r="E173">
        <v>800</v>
      </c>
    </row>
    <row r="174" spans="1:5">
      <c r="A174" t="s">
        <v>1160</v>
      </c>
      <c r="B174" s="1">
        <v>4068.6975</v>
      </c>
      <c r="C174">
        <v>678.11625</v>
      </c>
      <c r="D174">
        <v>0</v>
      </c>
      <c r="E174">
        <v>500</v>
      </c>
    </row>
    <row r="175" spans="1:5">
      <c r="A175" t="s">
        <v>975</v>
      </c>
      <c r="B175" s="1">
        <v>4062.5172</v>
      </c>
      <c r="C175">
        <v>225.6954</v>
      </c>
      <c r="D175">
        <v>0</v>
      </c>
      <c r="E175">
        <v>20</v>
      </c>
    </row>
    <row r="176" spans="1:5">
      <c r="A176" t="s">
        <v>1329</v>
      </c>
      <c r="B176" s="1">
        <v>3982.86</v>
      </c>
      <c r="C176">
        <v>1991.43</v>
      </c>
      <c r="D176">
        <v>0</v>
      </c>
      <c r="E176">
        <v>500</v>
      </c>
    </row>
    <row r="177" spans="1:5">
      <c r="A177" t="s">
        <v>1313</v>
      </c>
      <c r="B177" s="1">
        <v>3903.2028</v>
      </c>
      <c r="C177">
        <v>92.9334</v>
      </c>
      <c r="D177">
        <v>0</v>
      </c>
      <c r="E177">
        <v>20</v>
      </c>
    </row>
    <row r="178" spans="1:5">
      <c r="A178" t="s">
        <v>262</v>
      </c>
      <c r="B178" s="1">
        <v>3874.95</v>
      </c>
      <c r="C178">
        <v>1937.475</v>
      </c>
      <c r="D178">
        <v>0</v>
      </c>
      <c r="E178">
        <v>1500</v>
      </c>
    </row>
    <row r="179" spans="1:5">
      <c r="A179" t="s">
        <v>675</v>
      </c>
      <c r="B179" s="1">
        <v>3874.95</v>
      </c>
      <c r="C179">
        <v>1937.475</v>
      </c>
      <c r="D179">
        <v>0</v>
      </c>
      <c r="E179">
        <v>1500</v>
      </c>
    </row>
    <row r="180" spans="1:5">
      <c r="A180" t="s">
        <v>1184</v>
      </c>
      <c r="B180" s="1">
        <v>3861.6448619469</v>
      </c>
      <c r="C180">
        <v>21.8094530973451</v>
      </c>
      <c r="D180">
        <v>4</v>
      </c>
      <c r="E180">
        <v>30</v>
      </c>
    </row>
    <row r="181" spans="1:5">
      <c r="A181" t="s">
        <v>151</v>
      </c>
      <c r="B181" s="1">
        <v>3468.26038938054</v>
      </c>
      <c r="C181">
        <v>115.608679646018</v>
      </c>
      <c r="D181">
        <v>63.5</v>
      </c>
      <c r="E181">
        <v>22</v>
      </c>
    </row>
    <row r="182" spans="1:5">
      <c r="A182" t="s">
        <v>1212</v>
      </c>
      <c r="B182" s="1">
        <v>3400.8</v>
      </c>
      <c r="C182">
        <v>11.336</v>
      </c>
      <c r="D182">
        <v>0</v>
      </c>
      <c r="E182">
        <v>8</v>
      </c>
    </row>
    <row r="183" spans="1:5">
      <c r="A183" t="s">
        <v>1211</v>
      </c>
      <c r="B183" s="1">
        <v>3400.8</v>
      </c>
      <c r="C183">
        <v>11.336</v>
      </c>
      <c r="D183">
        <v>0</v>
      </c>
      <c r="E183">
        <v>8</v>
      </c>
    </row>
    <row r="184" spans="1:5">
      <c r="A184" t="s">
        <v>1316</v>
      </c>
      <c r="B184" s="1">
        <v>3319.05</v>
      </c>
      <c r="C184">
        <v>663.81</v>
      </c>
      <c r="D184">
        <v>0</v>
      </c>
      <c r="E184">
        <v>500</v>
      </c>
    </row>
    <row r="185" spans="1:5">
      <c r="A185" t="s">
        <v>1165</v>
      </c>
      <c r="B185" s="1">
        <v>3254.958</v>
      </c>
      <c r="C185">
        <v>271.2465</v>
      </c>
      <c r="D185">
        <v>0</v>
      </c>
      <c r="E185">
        <v>200</v>
      </c>
    </row>
    <row r="186" spans="1:5">
      <c r="A186" t="s">
        <v>1281</v>
      </c>
      <c r="B186" s="1">
        <v>2927.522</v>
      </c>
      <c r="C186">
        <v>5.855044</v>
      </c>
      <c r="E186">
        <v>4</v>
      </c>
    </row>
    <row r="187" spans="1:5">
      <c r="A187" t="s">
        <v>1127</v>
      </c>
      <c r="B187" s="1">
        <v>2841.63</v>
      </c>
      <c r="C187">
        <v>1420.815</v>
      </c>
      <c r="D187">
        <v>0</v>
      </c>
      <c r="E187">
        <v>1100</v>
      </c>
    </row>
    <row r="188" spans="1:5">
      <c r="A188" t="s">
        <v>1169</v>
      </c>
      <c r="B188" s="1">
        <v>2712.465</v>
      </c>
      <c r="C188">
        <v>678.11625</v>
      </c>
      <c r="D188">
        <v>0</v>
      </c>
      <c r="E188">
        <v>500</v>
      </c>
    </row>
    <row r="189" spans="1:5">
      <c r="A189" t="s">
        <v>1168</v>
      </c>
      <c r="B189" s="1">
        <v>2712.465</v>
      </c>
      <c r="C189">
        <v>2712.465</v>
      </c>
      <c r="D189">
        <v>0</v>
      </c>
      <c r="E189">
        <v>2000</v>
      </c>
    </row>
    <row r="190" spans="1:5">
      <c r="A190" t="s">
        <v>1149</v>
      </c>
      <c r="B190" s="1">
        <v>2707.2984</v>
      </c>
      <c r="C190">
        <v>676.8246</v>
      </c>
      <c r="D190">
        <v>300</v>
      </c>
      <c r="E190">
        <v>200</v>
      </c>
    </row>
    <row r="191" spans="1:5">
      <c r="A191" t="s">
        <v>410</v>
      </c>
      <c r="B191" s="1">
        <v>2707.2984</v>
      </c>
      <c r="C191">
        <v>1353.6492</v>
      </c>
      <c r="D191">
        <v>0</v>
      </c>
      <c r="E191">
        <v>1000</v>
      </c>
    </row>
    <row r="192" spans="1:5">
      <c r="A192" t="s">
        <v>265</v>
      </c>
      <c r="B192" s="1">
        <v>2660</v>
      </c>
      <c r="C192">
        <v>665</v>
      </c>
      <c r="D192">
        <v>0</v>
      </c>
      <c r="E192">
        <v>500</v>
      </c>
    </row>
    <row r="193" spans="1:5">
      <c r="A193" t="s">
        <v>284</v>
      </c>
      <c r="B193" s="1">
        <v>2660</v>
      </c>
      <c r="C193">
        <v>665</v>
      </c>
      <c r="D193">
        <v>0</v>
      </c>
      <c r="E193">
        <v>500</v>
      </c>
    </row>
    <row r="194" spans="1:5">
      <c r="A194" t="s">
        <v>274</v>
      </c>
      <c r="B194" s="1">
        <v>2660</v>
      </c>
      <c r="C194">
        <v>665</v>
      </c>
      <c r="D194">
        <v>0</v>
      </c>
      <c r="E194">
        <v>500</v>
      </c>
    </row>
    <row r="195" spans="1:5">
      <c r="A195" t="s">
        <v>1195</v>
      </c>
      <c r="B195" s="1">
        <v>2583.3</v>
      </c>
      <c r="C195">
        <v>1291.65</v>
      </c>
      <c r="D195">
        <v>0</v>
      </c>
      <c r="E195">
        <v>1000</v>
      </c>
    </row>
    <row r="196" spans="1:5">
      <c r="A196" t="s">
        <v>77</v>
      </c>
      <c r="B196" s="1">
        <v>2580.38572969912</v>
      </c>
      <c r="C196">
        <v>115.608679646018</v>
      </c>
      <c r="D196">
        <v>63.5</v>
      </c>
      <c r="E196">
        <v>22</v>
      </c>
    </row>
    <row r="197" spans="1:5">
      <c r="A197" t="s">
        <v>976</v>
      </c>
      <c r="B197" s="1">
        <v>2549.0304</v>
      </c>
      <c r="C197">
        <v>159.3144</v>
      </c>
      <c r="D197">
        <v>0</v>
      </c>
      <c r="E197">
        <v>20</v>
      </c>
    </row>
    <row r="198" spans="1:5">
      <c r="A198" t="s">
        <v>950</v>
      </c>
      <c r="B198" s="1">
        <v>2389.716</v>
      </c>
      <c r="C198">
        <v>1194.858</v>
      </c>
      <c r="D198">
        <v>0</v>
      </c>
      <c r="E198">
        <v>900</v>
      </c>
    </row>
    <row r="199" spans="1:5">
      <c r="A199" t="s">
        <v>949</v>
      </c>
      <c r="B199" s="1">
        <v>2389.716</v>
      </c>
      <c r="C199">
        <v>1194.858</v>
      </c>
      <c r="D199">
        <v>0</v>
      </c>
      <c r="E199">
        <v>900</v>
      </c>
    </row>
    <row r="200" spans="1:5">
      <c r="A200" t="s">
        <v>708</v>
      </c>
      <c r="B200" s="1">
        <v>2357.20409734513</v>
      </c>
      <c r="C200">
        <v>7857.34699115044</v>
      </c>
      <c r="D200">
        <v>3910</v>
      </c>
      <c r="E200">
        <v>2150</v>
      </c>
    </row>
    <row r="201" spans="1:5">
      <c r="A201" t="s">
        <v>256</v>
      </c>
      <c r="B201" s="1">
        <v>2266.64</v>
      </c>
      <c r="C201">
        <v>1133.32</v>
      </c>
      <c r="D201">
        <v>0</v>
      </c>
      <c r="E201">
        <v>800</v>
      </c>
    </row>
    <row r="202" spans="1:5">
      <c r="A202" t="s">
        <v>254</v>
      </c>
      <c r="B202" s="1">
        <v>2266.64</v>
      </c>
      <c r="C202">
        <v>1133.32</v>
      </c>
      <c r="D202">
        <v>0</v>
      </c>
      <c r="E202">
        <v>800</v>
      </c>
    </row>
    <row r="203" spans="1:5">
      <c r="A203" t="s">
        <v>238</v>
      </c>
      <c r="B203" s="1">
        <v>2266.64</v>
      </c>
      <c r="C203">
        <v>1133.32</v>
      </c>
      <c r="D203">
        <v>0</v>
      </c>
      <c r="E203">
        <v>800</v>
      </c>
    </row>
    <row r="204" spans="1:5">
      <c r="A204" t="s">
        <v>258</v>
      </c>
      <c r="B204" s="1">
        <v>2266.64</v>
      </c>
      <c r="C204">
        <v>1133.32</v>
      </c>
      <c r="D204">
        <v>0</v>
      </c>
      <c r="E204">
        <v>800</v>
      </c>
    </row>
    <row r="205" spans="1:5">
      <c r="A205" t="s">
        <v>233</v>
      </c>
      <c r="B205" s="1">
        <v>2266.64</v>
      </c>
      <c r="C205">
        <v>1133.32</v>
      </c>
      <c r="D205">
        <v>0</v>
      </c>
      <c r="E205">
        <v>800</v>
      </c>
    </row>
    <row r="206" spans="1:5">
      <c r="A206" t="s">
        <v>236</v>
      </c>
      <c r="B206" s="1">
        <v>2266.64</v>
      </c>
      <c r="C206">
        <v>1133.32</v>
      </c>
      <c r="D206">
        <v>0</v>
      </c>
      <c r="E206">
        <v>800</v>
      </c>
    </row>
    <row r="207" spans="1:5">
      <c r="A207" t="s">
        <v>246</v>
      </c>
      <c r="B207" s="1">
        <v>2266.64</v>
      </c>
      <c r="C207">
        <v>1133.32</v>
      </c>
      <c r="D207">
        <v>0</v>
      </c>
      <c r="E207">
        <v>800</v>
      </c>
    </row>
    <row r="208" spans="1:5">
      <c r="A208" t="s">
        <v>252</v>
      </c>
      <c r="B208" s="1">
        <v>2266.64</v>
      </c>
      <c r="C208">
        <v>1133.32</v>
      </c>
      <c r="D208">
        <v>0</v>
      </c>
      <c r="E208">
        <v>800</v>
      </c>
    </row>
    <row r="209" spans="1:5">
      <c r="A209" t="s">
        <v>244</v>
      </c>
      <c r="B209" s="1">
        <v>2266.64</v>
      </c>
      <c r="C209">
        <v>1133.32</v>
      </c>
      <c r="D209">
        <v>0</v>
      </c>
      <c r="E209">
        <v>800</v>
      </c>
    </row>
    <row r="210" spans="1:5">
      <c r="A210" t="s">
        <v>248</v>
      </c>
      <c r="B210" s="1">
        <v>2266.64</v>
      </c>
      <c r="C210">
        <v>1133.32</v>
      </c>
      <c r="D210">
        <v>0</v>
      </c>
      <c r="E210">
        <v>800</v>
      </c>
    </row>
    <row r="211" spans="1:5">
      <c r="A211" t="s">
        <v>242</v>
      </c>
      <c r="B211" s="1">
        <v>2266.64</v>
      </c>
      <c r="C211">
        <v>1133.32</v>
      </c>
      <c r="D211">
        <v>0</v>
      </c>
      <c r="E211">
        <v>800</v>
      </c>
    </row>
    <row r="212" spans="1:5">
      <c r="A212" t="s">
        <v>250</v>
      </c>
      <c r="B212" s="1">
        <v>2266.64</v>
      </c>
      <c r="C212">
        <v>1133.32</v>
      </c>
      <c r="D212">
        <v>0</v>
      </c>
      <c r="E212">
        <v>800</v>
      </c>
    </row>
    <row r="213" spans="1:5">
      <c r="A213" t="s">
        <v>240</v>
      </c>
      <c r="B213" s="1">
        <v>2266.64</v>
      </c>
      <c r="C213">
        <v>1133.32</v>
      </c>
      <c r="D213">
        <v>0</v>
      </c>
      <c r="E213">
        <v>800</v>
      </c>
    </row>
    <row r="214" spans="1:5">
      <c r="A214" t="s">
        <v>1164</v>
      </c>
      <c r="B214" s="1">
        <v>2169.972</v>
      </c>
      <c r="C214">
        <v>271.2465</v>
      </c>
      <c r="D214">
        <v>0</v>
      </c>
      <c r="E214">
        <v>200</v>
      </c>
    </row>
    <row r="215" spans="1:5">
      <c r="A215" t="s">
        <v>1158</v>
      </c>
      <c r="B215" s="1">
        <v>2169.972</v>
      </c>
      <c r="C215">
        <v>1084.986</v>
      </c>
      <c r="D215">
        <v>0</v>
      </c>
      <c r="E215">
        <v>800</v>
      </c>
    </row>
    <row r="216" spans="1:5">
      <c r="A216" t="s">
        <v>979</v>
      </c>
      <c r="B216" s="1">
        <v>2124.192</v>
      </c>
      <c r="C216">
        <v>1062.096</v>
      </c>
      <c r="D216">
        <v>0</v>
      </c>
      <c r="E216">
        <v>800</v>
      </c>
    </row>
    <row r="217" spans="1:5">
      <c r="A217" t="s">
        <v>974</v>
      </c>
      <c r="B217" s="1">
        <v>2124.192</v>
      </c>
      <c r="C217">
        <v>2124.192</v>
      </c>
      <c r="D217">
        <v>0</v>
      </c>
      <c r="E217">
        <v>1600</v>
      </c>
    </row>
    <row r="218" spans="1:5">
      <c r="A218" t="s">
        <v>1199</v>
      </c>
      <c r="B218" s="1">
        <v>2066.64</v>
      </c>
      <c r="C218">
        <v>258.33</v>
      </c>
      <c r="D218">
        <v>0</v>
      </c>
      <c r="E218">
        <v>200</v>
      </c>
    </row>
    <row r="219" spans="1:5">
      <c r="A219" t="s">
        <v>1238</v>
      </c>
      <c r="B219" s="1">
        <v>1937.475</v>
      </c>
      <c r="C219">
        <v>645.825</v>
      </c>
      <c r="D219">
        <v>0</v>
      </c>
      <c r="E219">
        <v>500</v>
      </c>
    </row>
    <row r="220" spans="1:5">
      <c r="A220" t="s">
        <v>1237</v>
      </c>
      <c r="B220" s="1">
        <v>1937.475</v>
      </c>
      <c r="C220">
        <v>645.825</v>
      </c>
      <c r="D220">
        <v>0</v>
      </c>
      <c r="E220">
        <v>500</v>
      </c>
    </row>
    <row r="221" spans="1:5">
      <c r="A221" t="s">
        <v>1220</v>
      </c>
      <c r="B221" s="1">
        <v>1937.475</v>
      </c>
      <c r="C221">
        <v>645.825</v>
      </c>
      <c r="D221">
        <v>0</v>
      </c>
      <c r="E221">
        <v>500</v>
      </c>
    </row>
    <row r="222" spans="1:5">
      <c r="A222" t="s">
        <v>1166</v>
      </c>
      <c r="B222" s="1">
        <v>1898.7255</v>
      </c>
      <c r="C222">
        <v>271.2465</v>
      </c>
      <c r="D222">
        <v>0</v>
      </c>
      <c r="E222">
        <v>200</v>
      </c>
    </row>
    <row r="223" spans="1:5">
      <c r="A223" t="s">
        <v>1172</v>
      </c>
      <c r="B223" s="1">
        <v>1832.31643686</v>
      </c>
      <c r="C223">
        <v>6.2408612175</v>
      </c>
      <c r="E223">
        <v>8</v>
      </c>
    </row>
    <row r="224" spans="1:5">
      <c r="A224" t="s">
        <v>1259</v>
      </c>
      <c r="B224" s="1">
        <v>1829.6304</v>
      </c>
      <c r="C224">
        <v>11.43519</v>
      </c>
      <c r="E224">
        <v>8</v>
      </c>
    </row>
    <row r="225" spans="1:5">
      <c r="A225" t="s">
        <v>1128</v>
      </c>
      <c r="B225" s="1">
        <v>1820.815</v>
      </c>
      <c r="C225">
        <v>1820.815</v>
      </c>
      <c r="D225">
        <v>0</v>
      </c>
      <c r="E225">
        <v>1100</v>
      </c>
    </row>
    <row r="226" spans="1:5">
      <c r="A226" t="s">
        <v>1200</v>
      </c>
      <c r="B226" s="1">
        <v>1808.31</v>
      </c>
      <c r="C226">
        <v>129.165</v>
      </c>
      <c r="D226">
        <v>0</v>
      </c>
      <c r="E226">
        <v>100</v>
      </c>
    </row>
    <row r="227" spans="1:5">
      <c r="A227" t="s">
        <v>1210</v>
      </c>
      <c r="B227" s="1">
        <v>1724.2056</v>
      </c>
      <c r="C227">
        <v>5.747352</v>
      </c>
      <c r="E227">
        <v>4</v>
      </c>
    </row>
    <row r="228" spans="1:5">
      <c r="A228" t="s">
        <v>743</v>
      </c>
      <c r="B228" s="1">
        <v>1700.4</v>
      </c>
      <c r="C228">
        <v>5.668</v>
      </c>
      <c r="D228">
        <v>0</v>
      </c>
      <c r="E228">
        <v>4</v>
      </c>
    </row>
    <row r="229" spans="1:5">
      <c r="A229" t="s">
        <v>1181</v>
      </c>
      <c r="B229" s="1">
        <v>1672.27614918</v>
      </c>
      <c r="C229">
        <v>6.058971555</v>
      </c>
      <c r="E229">
        <v>4</v>
      </c>
    </row>
    <row r="230" spans="1:5">
      <c r="A230" t="s">
        <v>1214</v>
      </c>
      <c r="B230" s="1">
        <v>1609.99028761062</v>
      </c>
      <c r="C230">
        <v>53.666342920354</v>
      </c>
      <c r="D230">
        <v>30</v>
      </c>
      <c r="E230">
        <v>15</v>
      </c>
    </row>
    <row r="231" spans="1:5">
      <c r="A231" t="s">
        <v>1253</v>
      </c>
      <c r="B231" s="1">
        <v>1549.98</v>
      </c>
      <c r="C231">
        <v>387.495</v>
      </c>
      <c r="D231">
        <v>0</v>
      </c>
      <c r="E231">
        <v>300</v>
      </c>
    </row>
    <row r="232" spans="1:5">
      <c r="A232" t="s">
        <v>1143</v>
      </c>
      <c r="B232" s="1">
        <v>1530.94130761062</v>
      </c>
      <c r="C232">
        <v>765.47065380531</v>
      </c>
      <c r="D232">
        <v>300</v>
      </c>
      <c r="E232">
        <v>300</v>
      </c>
    </row>
    <row r="233" spans="1:5">
      <c r="A233" t="s">
        <v>1138</v>
      </c>
      <c r="B233" s="1">
        <v>1489.01412</v>
      </c>
      <c r="C233">
        <v>62.6062755</v>
      </c>
      <c r="D233">
        <v>0</v>
      </c>
      <c r="E233">
        <v>185</v>
      </c>
    </row>
    <row r="234" spans="1:5">
      <c r="A234" t="s">
        <v>980</v>
      </c>
      <c r="B234" s="1">
        <v>1354.1724</v>
      </c>
      <c r="C234">
        <v>225.6954</v>
      </c>
      <c r="D234">
        <v>0</v>
      </c>
      <c r="E234">
        <v>20</v>
      </c>
    </row>
    <row r="235" spans="1:5">
      <c r="A235" t="s">
        <v>416</v>
      </c>
      <c r="B235" s="1">
        <v>1353.6492</v>
      </c>
      <c r="C235">
        <v>676.8246</v>
      </c>
      <c r="D235">
        <v>0</v>
      </c>
      <c r="E235">
        <v>500</v>
      </c>
    </row>
    <row r="236" spans="1:5">
      <c r="A236" t="s">
        <v>407</v>
      </c>
      <c r="B236" s="1">
        <v>1353.6492</v>
      </c>
      <c r="C236">
        <v>1353.6492</v>
      </c>
      <c r="D236">
        <v>0</v>
      </c>
      <c r="E236">
        <v>1000</v>
      </c>
    </row>
    <row r="237" spans="1:5">
      <c r="A237" t="s">
        <v>288</v>
      </c>
      <c r="B237" s="1">
        <v>1330</v>
      </c>
      <c r="C237">
        <v>665</v>
      </c>
      <c r="D237">
        <v>0</v>
      </c>
      <c r="E237">
        <v>500</v>
      </c>
    </row>
    <row r="238" spans="1:5">
      <c r="A238" t="s">
        <v>286</v>
      </c>
      <c r="B238" s="1">
        <v>1330</v>
      </c>
      <c r="C238">
        <v>665</v>
      </c>
      <c r="D238">
        <v>0</v>
      </c>
      <c r="E238">
        <v>500</v>
      </c>
    </row>
    <row r="239" spans="1:5">
      <c r="A239" t="s">
        <v>278</v>
      </c>
      <c r="B239" s="1">
        <v>1330</v>
      </c>
      <c r="C239">
        <v>665</v>
      </c>
      <c r="D239">
        <v>0</v>
      </c>
      <c r="E239">
        <v>500</v>
      </c>
    </row>
    <row r="240" spans="1:5">
      <c r="A240" t="s">
        <v>276</v>
      </c>
      <c r="B240" s="1">
        <v>1330</v>
      </c>
      <c r="C240">
        <v>665</v>
      </c>
      <c r="D240">
        <v>0</v>
      </c>
      <c r="E240">
        <v>500</v>
      </c>
    </row>
    <row r="241" spans="1:5">
      <c r="A241" t="s">
        <v>271</v>
      </c>
      <c r="B241" s="1">
        <v>1330</v>
      </c>
      <c r="C241">
        <v>665</v>
      </c>
      <c r="D241">
        <v>0</v>
      </c>
      <c r="E241">
        <v>500</v>
      </c>
    </row>
    <row r="242" spans="1:5">
      <c r="A242" t="s">
        <v>267</v>
      </c>
      <c r="B242" s="1">
        <v>1330</v>
      </c>
      <c r="C242">
        <v>665</v>
      </c>
      <c r="D242">
        <v>0</v>
      </c>
      <c r="E242">
        <v>500</v>
      </c>
    </row>
    <row r="243" spans="1:5">
      <c r="A243" t="s">
        <v>269</v>
      </c>
      <c r="B243" s="1">
        <v>1330</v>
      </c>
      <c r="C243">
        <v>665</v>
      </c>
      <c r="D243">
        <v>0</v>
      </c>
      <c r="E243">
        <v>500</v>
      </c>
    </row>
    <row r="244" spans="1:5">
      <c r="A244" t="s">
        <v>280</v>
      </c>
      <c r="B244" s="1">
        <v>1330</v>
      </c>
      <c r="C244">
        <v>665</v>
      </c>
      <c r="D244">
        <v>0</v>
      </c>
      <c r="E244">
        <v>500</v>
      </c>
    </row>
    <row r="245" spans="1:5">
      <c r="A245" t="s">
        <v>282</v>
      </c>
      <c r="B245" s="1">
        <v>1330</v>
      </c>
      <c r="C245">
        <v>665</v>
      </c>
      <c r="D245">
        <v>0</v>
      </c>
      <c r="E245">
        <v>500</v>
      </c>
    </row>
    <row r="246" spans="1:5">
      <c r="A246" t="s">
        <v>260</v>
      </c>
      <c r="B246" s="1">
        <v>1291.65</v>
      </c>
      <c r="C246">
        <v>1291.65</v>
      </c>
      <c r="D246">
        <v>0</v>
      </c>
      <c r="E246">
        <v>1000</v>
      </c>
    </row>
    <row r="247" spans="1:5">
      <c r="A247" t="s">
        <v>1222</v>
      </c>
      <c r="B247" s="1">
        <v>1291.65</v>
      </c>
      <c r="C247">
        <v>645.825</v>
      </c>
      <c r="D247">
        <v>0</v>
      </c>
      <c r="E247">
        <v>1000</v>
      </c>
    </row>
    <row r="248" spans="1:5">
      <c r="A248" t="s">
        <v>1223</v>
      </c>
      <c r="B248" s="1">
        <v>1291.65</v>
      </c>
      <c r="C248">
        <v>645.825</v>
      </c>
      <c r="D248">
        <v>0</v>
      </c>
      <c r="E248">
        <v>1000</v>
      </c>
    </row>
    <row r="249" spans="1:5">
      <c r="A249" t="s">
        <v>1240</v>
      </c>
      <c r="B249" s="1">
        <v>1239.3082</v>
      </c>
      <c r="C249">
        <v>6.196541</v>
      </c>
      <c r="E249">
        <v>4</v>
      </c>
    </row>
    <row r="250" spans="1:5">
      <c r="A250" t="s">
        <v>1134</v>
      </c>
      <c r="B250" s="1">
        <v>1218.28428</v>
      </c>
      <c r="C250">
        <v>40.609476</v>
      </c>
      <c r="D250">
        <v>0</v>
      </c>
      <c r="E250">
        <v>30</v>
      </c>
    </row>
    <row r="251" spans="1:5">
      <c r="A251" t="s">
        <v>326</v>
      </c>
      <c r="B251" s="1">
        <v>1201.07874</v>
      </c>
      <c r="C251">
        <v>129.62974</v>
      </c>
      <c r="D251">
        <v>0</v>
      </c>
      <c r="E251">
        <v>350</v>
      </c>
    </row>
    <row r="252" spans="1:5">
      <c r="A252" t="s">
        <v>1198</v>
      </c>
      <c r="B252" s="1">
        <v>1162.485</v>
      </c>
      <c r="C252">
        <v>387.495</v>
      </c>
      <c r="D252">
        <v>0</v>
      </c>
      <c r="E252">
        <v>300</v>
      </c>
    </row>
    <row r="253" spans="1:5">
      <c r="A253" t="s">
        <v>205</v>
      </c>
      <c r="B253" s="1">
        <v>1160.415744</v>
      </c>
      <c r="C253">
        <v>290.103936</v>
      </c>
      <c r="D253">
        <v>105</v>
      </c>
      <c r="E253">
        <v>124.8</v>
      </c>
    </row>
    <row r="254" spans="1:5">
      <c r="A254" t="s">
        <v>1241</v>
      </c>
      <c r="B254" s="1">
        <v>1150.604</v>
      </c>
      <c r="C254">
        <v>5.75302</v>
      </c>
      <c r="E254">
        <v>4</v>
      </c>
    </row>
    <row r="255" spans="1:5">
      <c r="A255" t="s">
        <v>1218</v>
      </c>
      <c r="B255" s="1">
        <v>1033.32</v>
      </c>
      <c r="C255">
        <v>1033.32</v>
      </c>
      <c r="D255">
        <v>0</v>
      </c>
      <c r="E255">
        <v>800</v>
      </c>
    </row>
    <row r="256" spans="1:5">
      <c r="A256" t="s">
        <v>1256</v>
      </c>
      <c r="B256" s="1">
        <v>879.579358407081</v>
      </c>
      <c r="C256">
        <v>29.3193119469027</v>
      </c>
      <c r="D256">
        <v>20</v>
      </c>
      <c r="E256">
        <v>5</v>
      </c>
    </row>
    <row r="257" spans="1:5">
      <c r="A257" t="s">
        <v>781</v>
      </c>
      <c r="B257" s="1">
        <v>850.2</v>
      </c>
      <c r="C257">
        <v>5.668</v>
      </c>
      <c r="D257">
        <v>0</v>
      </c>
      <c r="E257">
        <v>4</v>
      </c>
    </row>
    <row r="258" spans="1:5">
      <c r="A258" t="s">
        <v>412</v>
      </c>
      <c r="B258" s="1">
        <v>812.18952</v>
      </c>
      <c r="C258">
        <v>406.09476</v>
      </c>
      <c r="D258">
        <v>0</v>
      </c>
      <c r="E258">
        <v>300</v>
      </c>
    </row>
    <row r="259" spans="1:5">
      <c r="A259" t="s">
        <v>1132</v>
      </c>
      <c r="B259" s="1">
        <v>812.18952</v>
      </c>
      <c r="C259">
        <v>20.304738</v>
      </c>
      <c r="D259">
        <v>0</v>
      </c>
      <c r="E259">
        <v>15</v>
      </c>
    </row>
    <row r="260" spans="1:5">
      <c r="A260" t="s">
        <v>1226</v>
      </c>
      <c r="B260" s="1">
        <v>786.992057522124</v>
      </c>
      <c r="C260">
        <v>26.2330685840708</v>
      </c>
      <c r="D260">
        <v>6</v>
      </c>
      <c r="E260">
        <v>15</v>
      </c>
    </row>
    <row r="261" spans="1:5">
      <c r="A261" t="s">
        <v>207</v>
      </c>
      <c r="B261" s="1">
        <v>784.223399646016</v>
      </c>
      <c r="C261">
        <v>196.055849911504</v>
      </c>
      <c r="D261">
        <v>126.4</v>
      </c>
      <c r="E261">
        <v>38.4</v>
      </c>
    </row>
    <row r="262" spans="1:5">
      <c r="A262" t="s">
        <v>297</v>
      </c>
      <c r="B262" s="1">
        <v>774.99</v>
      </c>
      <c r="C262">
        <v>387.495</v>
      </c>
      <c r="D262">
        <v>0</v>
      </c>
      <c r="E262">
        <v>300</v>
      </c>
    </row>
    <row r="263" spans="1:5">
      <c r="A263" t="s">
        <v>210</v>
      </c>
      <c r="B263" s="1">
        <v>682.776</v>
      </c>
      <c r="C263">
        <v>113.796</v>
      </c>
      <c r="D263">
        <v>70</v>
      </c>
      <c r="E263">
        <v>20</v>
      </c>
    </row>
    <row r="264" spans="1:5">
      <c r="A264" t="s">
        <v>414</v>
      </c>
      <c r="B264" s="1">
        <v>676.8246</v>
      </c>
      <c r="C264">
        <v>676.8246</v>
      </c>
      <c r="D264">
        <v>0</v>
      </c>
      <c r="E264">
        <v>500</v>
      </c>
    </row>
    <row r="265" spans="1:5">
      <c r="A265" t="s">
        <v>1239</v>
      </c>
      <c r="B265" s="1">
        <v>645.825</v>
      </c>
      <c r="C265">
        <v>645.825</v>
      </c>
      <c r="D265">
        <v>0</v>
      </c>
      <c r="E265">
        <v>500</v>
      </c>
    </row>
    <row r="266" spans="1:5">
      <c r="A266" t="s">
        <v>1233</v>
      </c>
      <c r="B266" s="1">
        <v>645.825</v>
      </c>
      <c r="C266">
        <v>645.825</v>
      </c>
      <c r="D266">
        <v>0</v>
      </c>
      <c r="E266">
        <v>500</v>
      </c>
    </row>
    <row r="267" spans="1:5">
      <c r="A267" t="s">
        <v>1231</v>
      </c>
      <c r="B267" s="1">
        <v>645.825</v>
      </c>
      <c r="C267">
        <v>645.825</v>
      </c>
      <c r="D267">
        <v>0</v>
      </c>
      <c r="E267">
        <v>500</v>
      </c>
    </row>
    <row r="268" spans="1:5">
      <c r="A268" t="s">
        <v>1247</v>
      </c>
      <c r="B268" s="1">
        <v>645.825</v>
      </c>
      <c r="C268">
        <v>645.825</v>
      </c>
      <c r="D268">
        <v>0</v>
      </c>
      <c r="E268">
        <v>500</v>
      </c>
    </row>
    <row r="269" spans="1:5">
      <c r="A269" t="s">
        <v>1235</v>
      </c>
      <c r="B269" s="1">
        <v>645.825</v>
      </c>
      <c r="C269">
        <v>645.825</v>
      </c>
      <c r="D269">
        <v>0</v>
      </c>
      <c r="E269">
        <v>500</v>
      </c>
    </row>
    <row r="270" spans="1:5">
      <c r="A270" t="s">
        <v>1244</v>
      </c>
      <c r="B270" s="1">
        <v>645.825</v>
      </c>
      <c r="C270">
        <v>645.825</v>
      </c>
      <c r="D270">
        <v>0</v>
      </c>
      <c r="E270">
        <v>500</v>
      </c>
    </row>
    <row r="271" spans="1:5">
      <c r="A271" t="s">
        <v>1234</v>
      </c>
      <c r="B271" s="1">
        <v>645.825</v>
      </c>
      <c r="C271">
        <v>645.825</v>
      </c>
      <c r="D271">
        <v>0</v>
      </c>
      <c r="E271">
        <v>500</v>
      </c>
    </row>
    <row r="272" spans="1:5">
      <c r="A272" t="s">
        <v>1245</v>
      </c>
      <c r="B272" s="1">
        <v>645.825</v>
      </c>
      <c r="C272">
        <v>645.825</v>
      </c>
      <c r="D272">
        <v>0</v>
      </c>
      <c r="E272">
        <v>500</v>
      </c>
    </row>
    <row r="273" spans="1:5">
      <c r="A273" t="s">
        <v>1232</v>
      </c>
      <c r="B273" s="1">
        <v>645.825</v>
      </c>
      <c r="C273">
        <v>645.825</v>
      </c>
      <c r="D273">
        <v>0</v>
      </c>
      <c r="E273">
        <v>500</v>
      </c>
    </row>
    <row r="274" spans="1:5">
      <c r="A274" t="s">
        <v>1221</v>
      </c>
      <c r="B274" s="1">
        <v>645.825</v>
      </c>
      <c r="C274">
        <v>645.825</v>
      </c>
      <c r="D274">
        <v>0</v>
      </c>
      <c r="E274">
        <v>500</v>
      </c>
    </row>
    <row r="275" spans="1:5">
      <c r="A275" t="s">
        <v>1246</v>
      </c>
      <c r="B275" s="1">
        <v>645.825</v>
      </c>
      <c r="C275">
        <v>645.825</v>
      </c>
      <c r="D275">
        <v>0</v>
      </c>
      <c r="E275">
        <v>500</v>
      </c>
    </row>
    <row r="276" spans="1:5">
      <c r="A276" t="s">
        <v>1251</v>
      </c>
      <c r="B276" s="1">
        <v>645.825</v>
      </c>
      <c r="C276">
        <v>645.825</v>
      </c>
      <c r="D276">
        <v>0</v>
      </c>
      <c r="E276">
        <v>500</v>
      </c>
    </row>
    <row r="277" spans="1:5">
      <c r="A277" t="s">
        <v>1248</v>
      </c>
      <c r="B277" s="1">
        <v>645.825</v>
      </c>
      <c r="C277">
        <v>645.825</v>
      </c>
      <c r="D277">
        <v>0</v>
      </c>
      <c r="E277">
        <v>500</v>
      </c>
    </row>
    <row r="278" spans="1:5">
      <c r="A278" t="s">
        <v>1312</v>
      </c>
      <c r="B278" s="1">
        <v>585.48042</v>
      </c>
      <c r="C278">
        <v>92.9334</v>
      </c>
      <c r="D278">
        <v>0</v>
      </c>
      <c r="E278">
        <v>20</v>
      </c>
    </row>
    <row r="279" spans="1:5">
      <c r="A279" t="s">
        <v>1196</v>
      </c>
      <c r="B279" s="1">
        <v>516.66</v>
      </c>
      <c r="C279">
        <v>258.33</v>
      </c>
      <c r="D279">
        <v>0</v>
      </c>
      <c r="E279">
        <v>200</v>
      </c>
    </row>
    <row r="280" spans="1:5">
      <c r="A280" t="s">
        <v>1201</v>
      </c>
      <c r="B280" s="1">
        <v>516.66</v>
      </c>
      <c r="C280">
        <v>64.5825</v>
      </c>
      <c r="D280">
        <v>0</v>
      </c>
      <c r="E280">
        <v>50</v>
      </c>
    </row>
    <row r="281" spans="1:5">
      <c r="A281" t="s">
        <v>1260</v>
      </c>
      <c r="B281" s="1">
        <v>465.22944</v>
      </c>
      <c r="C281">
        <v>5.815368</v>
      </c>
      <c r="E281">
        <v>4</v>
      </c>
    </row>
    <row r="282" spans="1:5">
      <c r="A282" t="s">
        <v>334</v>
      </c>
      <c r="B282" s="1">
        <v>460.240728</v>
      </c>
      <c r="C282">
        <v>87.987198</v>
      </c>
      <c r="D282">
        <v>0</v>
      </c>
      <c r="E282">
        <v>130</v>
      </c>
    </row>
    <row r="283" spans="1:5">
      <c r="A283" t="s">
        <v>1133</v>
      </c>
      <c r="B283" s="1">
        <v>406.09476</v>
      </c>
      <c r="C283">
        <v>20.304738</v>
      </c>
      <c r="D283">
        <v>0</v>
      </c>
      <c r="E283">
        <v>15</v>
      </c>
    </row>
    <row r="284" spans="1:5">
      <c r="A284" t="s">
        <v>1224</v>
      </c>
      <c r="B284" s="1">
        <v>387.495</v>
      </c>
      <c r="C284">
        <v>387.495</v>
      </c>
      <c r="D284">
        <v>0</v>
      </c>
      <c r="E284">
        <v>300</v>
      </c>
    </row>
    <row r="285" spans="1:5">
      <c r="A285" t="s">
        <v>1263</v>
      </c>
      <c r="B285" s="1">
        <v>387.495</v>
      </c>
      <c r="C285">
        <v>387.495</v>
      </c>
      <c r="D285">
        <v>0</v>
      </c>
      <c r="E285">
        <v>300</v>
      </c>
    </row>
    <row r="286" spans="1:5">
      <c r="A286" t="s">
        <v>1249</v>
      </c>
      <c r="B286" s="1">
        <v>387.495</v>
      </c>
      <c r="C286">
        <v>387.495</v>
      </c>
      <c r="D286">
        <v>0</v>
      </c>
      <c r="E286">
        <v>300</v>
      </c>
    </row>
    <row r="287" spans="1:5">
      <c r="A287" t="s">
        <v>1257</v>
      </c>
      <c r="B287" s="1">
        <v>350.345774336283</v>
      </c>
      <c r="C287">
        <v>350.345774336283</v>
      </c>
      <c r="D287">
        <v>250</v>
      </c>
      <c r="E287">
        <v>50</v>
      </c>
    </row>
    <row r="288" spans="1:5">
      <c r="A288" t="s">
        <v>1174</v>
      </c>
      <c r="B288" s="1">
        <v>335.59200675</v>
      </c>
      <c r="C288">
        <v>6.10167285</v>
      </c>
      <c r="E288">
        <v>4</v>
      </c>
    </row>
    <row r="289" spans="1:5">
      <c r="A289" t="s">
        <v>1167</v>
      </c>
      <c r="B289" s="1">
        <v>271.2465</v>
      </c>
      <c r="C289">
        <v>271.2465</v>
      </c>
      <c r="D289">
        <v>0</v>
      </c>
      <c r="E289">
        <v>200</v>
      </c>
    </row>
    <row r="290" spans="1:5">
      <c r="A290" t="s">
        <v>1137</v>
      </c>
      <c r="B290" s="1">
        <v>270.72984</v>
      </c>
      <c r="C290">
        <v>270.72984</v>
      </c>
      <c r="D290">
        <v>0</v>
      </c>
      <c r="E290">
        <v>200</v>
      </c>
    </row>
    <row r="291" spans="1:5">
      <c r="A291" t="s">
        <v>1275</v>
      </c>
      <c r="B291" s="1">
        <v>236.0722</v>
      </c>
      <c r="C291">
        <v>11.80361</v>
      </c>
      <c r="E291">
        <v>8</v>
      </c>
    </row>
    <row r="292" spans="1:5">
      <c r="A292" t="s">
        <v>1278</v>
      </c>
      <c r="B292" s="1">
        <v>230.971</v>
      </c>
      <c r="C292">
        <v>11.54855</v>
      </c>
      <c r="E292">
        <v>8</v>
      </c>
    </row>
    <row r="293" spans="1:5">
      <c r="A293" t="s">
        <v>749</v>
      </c>
      <c r="B293" s="1">
        <v>226.72</v>
      </c>
      <c r="C293">
        <v>14.17</v>
      </c>
      <c r="D293">
        <v>0</v>
      </c>
      <c r="E293">
        <v>10</v>
      </c>
    </row>
    <row r="294" spans="1:5">
      <c r="A294" t="s">
        <v>1202</v>
      </c>
      <c r="B294" s="1">
        <v>193.7475</v>
      </c>
      <c r="C294">
        <v>193.7475</v>
      </c>
      <c r="D294">
        <v>0</v>
      </c>
      <c r="E294">
        <v>150</v>
      </c>
    </row>
    <row r="295" spans="1:5">
      <c r="A295" t="s">
        <v>1204</v>
      </c>
      <c r="B295" s="1">
        <v>193.7475</v>
      </c>
      <c r="C295">
        <v>193.7475</v>
      </c>
      <c r="D295">
        <v>0</v>
      </c>
      <c r="E295">
        <v>150</v>
      </c>
    </row>
    <row r="296" spans="1:5">
      <c r="A296" t="s">
        <v>1227</v>
      </c>
      <c r="B296" s="1">
        <v>176.4165</v>
      </c>
      <c r="C296">
        <v>5.88055</v>
      </c>
      <c r="E296">
        <v>4</v>
      </c>
    </row>
    <row r="297" spans="1:5">
      <c r="A297" t="s">
        <v>1203</v>
      </c>
      <c r="B297" s="1">
        <v>129.165</v>
      </c>
      <c r="C297">
        <v>129.165</v>
      </c>
      <c r="D297">
        <v>0</v>
      </c>
      <c r="E297">
        <v>100</v>
      </c>
    </row>
    <row r="298" spans="1:5">
      <c r="A298" t="s">
        <v>1208</v>
      </c>
      <c r="B298" s="1">
        <v>83.603</v>
      </c>
      <c r="C298">
        <v>0.167206</v>
      </c>
      <c r="E298">
        <v>0</v>
      </c>
    </row>
    <row r="299" spans="1:5">
      <c r="A299" t="s">
        <v>1261</v>
      </c>
      <c r="B299" s="1">
        <v>11.5185096</v>
      </c>
      <c r="C299">
        <v>5.7592548</v>
      </c>
      <c r="E299">
        <v>4</v>
      </c>
    </row>
    <row r="300" spans="1:5">
      <c r="A300" t="s">
        <v>1123</v>
      </c>
      <c r="B300" s="1">
        <v>0</v>
      </c>
      <c r="C300">
        <v>0</v>
      </c>
      <c r="D300">
        <v>0</v>
      </c>
      <c r="E300">
        <v>0</v>
      </c>
    </row>
    <row r="301" spans="1:5">
      <c r="A301" t="s">
        <v>49</v>
      </c>
      <c r="B301" s="1">
        <v>18131000.3293943</v>
      </c>
      <c r="C301">
        <v>2361.54794672026</v>
      </c>
      <c r="D301">
        <v>213980.14435</v>
      </c>
      <c r="E301">
        <v>478860.7</v>
      </c>
    </row>
    <row r="302" spans="1:5">
      <c r="B302"/>
    </row>
    <row r="303" spans="1:5">
      <c r="B303"/>
    </row>
    <row r="304" spans="1:5">
      <c r="B304"/>
    </row>
    <row r="305" spans="2:2">
      <c r="B305"/>
    </row>
    <row r="306" spans="2:2">
      <c r="B306"/>
    </row>
    <row r="307" spans="2:2">
      <c r="B307"/>
    </row>
    <row r="308" spans="2:2">
      <c r="B308"/>
    </row>
    <row r="309" spans="2:2">
      <c r="B309"/>
    </row>
    <row r="310" spans="2:2">
      <c r="B310"/>
    </row>
    <row r="311" spans="2:2">
      <c r="B311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13" master="" otherUserPermission="visible">
    <arrUserId title="区域1_7_3_2" rangeCreator="" othersAccessPermission="edit"/>
    <arrUserId title="区域1_2_2_1_1_5_1_1_1" rangeCreator="" othersAccessPermission="edit"/>
    <arrUserId title="区域1_7_3_2_1_1" rangeCreator="" othersAccessPermission="edit"/>
    <arrUserId title="区域1_1_1" rangeCreator="" othersAccessPermission="edit"/>
    <arrUserId title="区域1_15_1_1_1" rangeCreator="" othersAccessPermission="edit"/>
    <arrUserId title="区域1_15_1_1_1_1" rangeCreator="" othersAccessPermission="edit"/>
    <arrUserId title="区域1_15_1_1_1_3" rangeCreator="" othersAccessPermission="edit"/>
    <arrUserId title="区域1_16_1_2" rangeCreator="" othersAccessPermission="edit"/>
    <arrUserId title="区域1_1_1_1" rangeCreator="" othersAccessPermission="edit"/>
    <arrUserId title="区域1_15_1_1_1_2" rangeCreator="" othersAccessPermission="edit"/>
    <arrUserId title="区域1_15_1_1_1_1_2" rangeCreator="" othersAccessPermission="edit"/>
    <arrUserId title="区域1_15_1_1_1_3_1" rangeCreator="" othersAccessPermission="edit"/>
    <arrUserId title="区域1_7_3_1" rangeCreator="" othersAccessPermission="edit"/>
    <arrUserId title="区域1_7_3_1_1" rangeCreator="" othersAccessPermission="edit"/>
    <arrUserId title="区域1_7_3_2_1" rangeCreator="" othersAccessPermission="edit"/>
    <arrUserId title="区域1_7_3_1_1_1" rangeCreator="" othersAccessPermission="edit"/>
    <arrUserId title="区域1_8_2_1_2_1" rangeCreator="" othersAccessPermission="edit"/>
    <arrUserId title="区域1_1_2_5_1" rangeCreator="" othersAccessPermission="edit"/>
    <arrUserId title="区域1_2_2_1_1_5_1_1_1_1" rangeCreator="" othersAccessPermission="edit"/>
    <arrUserId title="区域1_7_3_2_1_1_1" rangeCreator="" othersAccessPermission="edit"/>
    <arrUserId title="区域1_16_1_2_1" rangeCreator="" othersAccessPermission="edit"/>
    <arrUserId title="区域1_2_3_1_1" rangeCreator="" othersAccessPermission="edit"/>
    <arrUserId title="区域1_2_4_1_1" rangeCreator="" othersAccessPermission="edit"/>
    <arrUserId title="区域1_1_2_1_1" rangeCreator="" othersAccessPermission="edit"/>
  </rangeList>
  <rangeList sheetStid="12" master="" otherUserPermission="visible"/>
  <rangeList sheetStid="11" master="" otherUserPermission="visible"/>
  <rangeList sheetStid="10" master="" otherUserPermission="visible"/>
  <rangeList sheetStid="9" master="" otherUserPermission="visible"/>
  <rangeList sheetStid="14" master="" otherUserPermission="visible"/>
  <rangeList sheetStid="15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表1汇总表</vt:lpstr>
      <vt:lpstr>表2清单</vt:lpstr>
      <vt:lpstr>表3</vt:lpstr>
      <vt:lpstr>表4</vt:lpstr>
      <vt:lpstr>表5</vt:lpstr>
      <vt:lpstr>表6</vt:lpstr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张泉</dc:creator>
  <cp:lastModifiedBy>☀️网络刀客☀️</cp:lastModifiedBy>
  <dcterms:created xsi:type="dcterms:W3CDTF">2019-12-28T12:31:00Z</dcterms:created>
  <dcterms:modified xsi:type="dcterms:W3CDTF">2026-02-04T03:55:03Z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0BDE135BE106431EBC91068390A82074_13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